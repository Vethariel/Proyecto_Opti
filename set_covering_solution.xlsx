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felesan\Downloads\Opti Project\"/>
    </mc:Choice>
  </mc:AlternateContent>
  <xr:revisionPtr revIDLastSave="0" documentId="13_ncr:1_{477B6FF1-2F98-4D86-9AC9-86A879A1203D}" xr6:coauthVersionLast="47" xr6:coauthVersionMax="47" xr10:uidLastSave="{00000000-0000-0000-0000-000000000000}"/>
  <bookViews>
    <workbookView xWindow="-120" yWindow="-120" windowWidth="29040" windowHeight="15720" activeTab="1" xr2:uid="{56575DFE-D894-4E2F-9CAD-E8064862F6A6}"/>
  </bookViews>
  <sheets>
    <sheet name="Informe de respuestas 1" sheetId="3" r:id="rId1"/>
    <sheet name="MODEL_07_SetCovering_50x200.lp" sheetId="2" r:id="rId2"/>
    <sheet name="Hoja1" sheetId="1" r:id="rId3"/>
  </sheets>
  <definedNames>
    <definedName name="Constraint_0" localSheetId="1" hidden="1">MODEL_07_SetCovering_50x200.lp!$C$6:$GT$6</definedName>
    <definedName name="Constraint_0_LHS" localSheetId="1" hidden="1">MODEL_07_SetCovering_50x200.lp!$GV$6</definedName>
    <definedName name="Constraint_0_RHS" localSheetId="1" hidden="1">MODEL_07_SetCovering_50x200.lp!$GX$6</definedName>
    <definedName name="Constraint_0_Sense" localSheetId="1" hidden="1">MODEL_07_SetCovering_50x200.lp!$GW$6</definedName>
    <definedName name="Constraint_1" localSheetId="1" hidden="1">MODEL_07_SetCovering_50x200.lp!$C$7:$GT$7</definedName>
    <definedName name="Constraint_1_LHS" localSheetId="1" hidden="1">MODEL_07_SetCovering_50x200.lp!$GV$7</definedName>
    <definedName name="Constraint_1_RHS" localSheetId="1" hidden="1">MODEL_07_SetCovering_50x200.lp!$GX$7</definedName>
    <definedName name="Constraint_1_Sense" localSheetId="1" hidden="1">MODEL_07_SetCovering_50x200.lp!$GW$7</definedName>
    <definedName name="Constraint_10" localSheetId="1" hidden="1">MODEL_07_SetCovering_50x200.lp!$C$16:$GT$16</definedName>
    <definedName name="Constraint_10_LHS" localSheetId="1" hidden="1">MODEL_07_SetCovering_50x200.lp!$GV$16</definedName>
    <definedName name="Constraint_10_RHS" localSheetId="1" hidden="1">MODEL_07_SetCovering_50x200.lp!$GX$16</definedName>
    <definedName name="Constraint_10_Sense" localSheetId="1" hidden="1">MODEL_07_SetCovering_50x200.lp!$GW$16</definedName>
    <definedName name="Constraint_11" localSheetId="1" hidden="1">MODEL_07_SetCovering_50x200.lp!$C$17:$GT$17</definedName>
    <definedName name="Constraint_11_LHS" localSheetId="1" hidden="1">MODEL_07_SetCovering_50x200.lp!$GV$17</definedName>
    <definedName name="Constraint_11_RHS" localSheetId="1" hidden="1">MODEL_07_SetCovering_50x200.lp!$GX$17</definedName>
    <definedName name="Constraint_11_Sense" localSheetId="1" hidden="1">MODEL_07_SetCovering_50x200.lp!$GW$17</definedName>
    <definedName name="Constraint_12" localSheetId="1" hidden="1">MODEL_07_SetCovering_50x200.lp!$C$18:$GT$18</definedName>
    <definedName name="Constraint_12_LHS" localSheetId="1" hidden="1">MODEL_07_SetCovering_50x200.lp!$GV$18</definedName>
    <definedName name="Constraint_12_RHS" localSheetId="1" hidden="1">MODEL_07_SetCovering_50x200.lp!$GX$18</definedName>
    <definedName name="Constraint_12_Sense" localSheetId="1" hidden="1">MODEL_07_SetCovering_50x200.lp!$GW$18</definedName>
    <definedName name="Constraint_13" localSheetId="1" hidden="1">MODEL_07_SetCovering_50x200.lp!$C$19:$GT$19</definedName>
    <definedName name="Constraint_13_LHS" localSheetId="1" hidden="1">MODEL_07_SetCovering_50x200.lp!$GV$19</definedName>
    <definedName name="Constraint_13_RHS" localSheetId="1" hidden="1">MODEL_07_SetCovering_50x200.lp!$GX$19</definedName>
    <definedName name="Constraint_13_Sense" localSheetId="1" hidden="1">MODEL_07_SetCovering_50x200.lp!$GW$19</definedName>
    <definedName name="Constraint_14" localSheetId="1" hidden="1">MODEL_07_SetCovering_50x200.lp!$C$20:$GT$20</definedName>
    <definedName name="Constraint_14_LHS" localSheetId="1" hidden="1">MODEL_07_SetCovering_50x200.lp!$GV$20</definedName>
    <definedName name="Constraint_14_RHS" localSheetId="1" hidden="1">MODEL_07_SetCovering_50x200.lp!$GX$20</definedName>
    <definedName name="Constraint_14_Sense" localSheetId="1" hidden="1">MODEL_07_SetCovering_50x200.lp!$GW$20</definedName>
    <definedName name="Constraint_15" localSheetId="1" hidden="1">MODEL_07_SetCovering_50x200.lp!$C$21:$GT$21</definedName>
    <definedName name="Constraint_15_LHS" localSheetId="1" hidden="1">MODEL_07_SetCovering_50x200.lp!$GV$21</definedName>
    <definedName name="Constraint_15_RHS" localSheetId="1" hidden="1">MODEL_07_SetCovering_50x200.lp!$GX$21</definedName>
    <definedName name="Constraint_15_Sense" localSheetId="1" hidden="1">MODEL_07_SetCovering_50x200.lp!$GW$21</definedName>
    <definedName name="Constraint_16" localSheetId="1" hidden="1">MODEL_07_SetCovering_50x200.lp!$C$22:$GT$22</definedName>
    <definedName name="Constraint_16_LHS" localSheetId="1" hidden="1">MODEL_07_SetCovering_50x200.lp!$GV$22</definedName>
    <definedName name="Constraint_16_RHS" localSheetId="1" hidden="1">MODEL_07_SetCovering_50x200.lp!$GX$22</definedName>
    <definedName name="Constraint_16_Sense" localSheetId="1" hidden="1">MODEL_07_SetCovering_50x200.lp!$GW$22</definedName>
    <definedName name="Constraint_17" localSheetId="1" hidden="1">MODEL_07_SetCovering_50x200.lp!$C$23:$GT$23</definedName>
    <definedName name="Constraint_17_LHS" localSheetId="1" hidden="1">MODEL_07_SetCovering_50x200.lp!$GV$23</definedName>
    <definedName name="Constraint_17_RHS" localSheetId="1" hidden="1">MODEL_07_SetCovering_50x200.lp!$GX$23</definedName>
    <definedName name="Constraint_17_Sense" localSheetId="1" hidden="1">MODEL_07_SetCovering_50x200.lp!$GW$23</definedName>
    <definedName name="Constraint_18" localSheetId="1" hidden="1">MODEL_07_SetCovering_50x200.lp!$C$24:$GT$24</definedName>
    <definedName name="Constraint_18_LHS" localSheetId="1" hidden="1">MODEL_07_SetCovering_50x200.lp!$GV$24</definedName>
    <definedName name="Constraint_18_RHS" localSheetId="1" hidden="1">MODEL_07_SetCovering_50x200.lp!$GX$24</definedName>
    <definedName name="Constraint_18_Sense" localSheetId="1" hidden="1">MODEL_07_SetCovering_50x200.lp!$GW$24</definedName>
    <definedName name="Constraint_19" localSheetId="1" hidden="1">MODEL_07_SetCovering_50x200.lp!$C$25:$GT$25</definedName>
    <definedName name="Constraint_19_LHS" localSheetId="1" hidden="1">MODEL_07_SetCovering_50x200.lp!$GV$25</definedName>
    <definedName name="Constraint_19_RHS" localSheetId="1" hidden="1">MODEL_07_SetCovering_50x200.lp!$GX$25</definedName>
    <definedName name="Constraint_19_Sense" localSheetId="1" hidden="1">MODEL_07_SetCovering_50x200.lp!$GW$25</definedName>
    <definedName name="Constraint_2" localSheetId="1" hidden="1">MODEL_07_SetCovering_50x200.lp!$C$8:$GT$8</definedName>
    <definedName name="Constraint_2_LHS" localSheetId="1" hidden="1">MODEL_07_SetCovering_50x200.lp!$GV$8</definedName>
    <definedName name="Constraint_2_RHS" localSheetId="1" hidden="1">MODEL_07_SetCovering_50x200.lp!$GX$8</definedName>
    <definedName name="Constraint_2_Sense" localSheetId="1" hidden="1">MODEL_07_SetCovering_50x200.lp!$GW$8</definedName>
    <definedName name="Constraint_20" localSheetId="1" hidden="1">MODEL_07_SetCovering_50x200.lp!$C$26:$GT$26</definedName>
    <definedName name="Constraint_20_LHS" localSheetId="1" hidden="1">MODEL_07_SetCovering_50x200.lp!$GV$26</definedName>
    <definedName name="Constraint_20_RHS" localSheetId="1" hidden="1">MODEL_07_SetCovering_50x200.lp!$GX$26</definedName>
    <definedName name="Constraint_20_Sense" localSheetId="1" hidden="1">MODEL_07_SetCovering_50x200.lp!$GW$26</definedName>
    <definedName name="Constraint_21" localSheetId="1" hidden="1">MODEL_07_SetCovering_50x200.lp!$C$27:$GT$27</definedName>
    <definedName name="Constraint_21_LHS" localSheetId="1" hidden="1">MODEL_07_SetCovering_50x200.lp!$GV$27</definedName>
    <definedName name="Constraint_21_RHS" localSheetId="1" hidden="1">MODEL_07_SetCovering_50x200.lp!$GX$27</definedName>
    <definedName name="Constraint_21_Sense" localSheetId="1" hidden="1">MODEL_07_SetCovering_50x200.lp!$GW$27</definedName>
    <definedName name="Constraint_22" localSheetId="1" hidden="1">MODEL_07_SetCovering_50x200.lp!$C$28:$GT$28</definedName>
    <definedName name="Constraint_22_LHS" localSheetId="1" hidden="1">MODEL_07_SetCovering_50x200.lp!$GV$28</definedName>
    <definedName name="Constraint_22_RHS" localSheetId="1" hidden="1">MODEL_07_SetCovering_50x200.lp!$GX$28</definedName>
    <definedName name="Constraint_22_Sense" localSheetId="1" hidden="1">MODEL_07_SetCovering_50x200.lp!$GW$28</definedName>
    <definedName name="Constraint_23" localSheetId="1" hidden="1">MODEL_07_SetCovering_50x200.lp!$C$29:$GT$29</definedName>
    <definedName name="Constraint_23_LHS" localSheetId="1" hidden="1">MODEL_07_SetCovering_50x200.lp!$GV$29</definedName>
    <definedName name="Constraint_23_RHS" localSheetId="1" hidden="1">MODEL_07_SetCovering_50x200.lp!$GX$29</definedName>
    <definedName name="Constraint_23_Sense" localSheetId="1" hidden="1">MODEL_07_SetCovering_50x200.lp!$GW$29</definedName>
    <definedName name="Constraint_24" localSheetId="1" hidden="1">MODEL_07_SetCovering_50x200.lp!$C$30:$GT$30</definedName>
    <definedName name="Constraint_24_LHS" localSheetId="1" hidden="1">MODEL_07_SetCovering_50x200.lp!$GV$30</definedName>
    <definedName name="Constraint_24_RHS" localSheetId="1" hidden="1">MODEL_07_SetCovering_50x200.lp!$GX$30</definedName>
    <definedName name="Constraint_24_Sense" localSheetId="1" hidden="1">MODEL_07_SetCovering_50x200.lp!$GW$30</definedName>
    <definedName name="Constraint_25" localSheetId="1" hidden="1">MODEL_07_SetCovering_50x200.lp!$C$31:$GT$31</definedName>
    <definedName name="Constraint_25_LHS" localSheetId="1" hidden="1">MODEL_07_SetCovering_50x200.lp!$GV$31</definedName>
    <definedName name="Constraint_25_RHS" localSheetId="1" hidden="1">MODEL_07_SetCovering_50x200.lp!$GX$31</definedName>
    <definedName name="Constraint_25_Sense" localSheetId="1" hidden="1">MODEL_07_SetCovering_50x200.lp!$GW$31</definedName>
    <definedName name="Constraint_26" localSheetId="1" hidden="1">MODEL_07_SetCovering_50x200.lp!$C$32:$GT$32</definedName>
    <definedName name="Constraint_26_LHS" localSheetId="1" hidden="1">MODEL_07_SetCovering_50x200.lp!$GV$32</definedName>
    <definedName name="Constraint_26_RHS" localSheetId="1" hidden="1">MODEL_07_SetCovering_50x200.lp!$GX$32</definedName>
    <definedName name="Constraint_26_Sense" localSheetId="1" hidden="1">MODEL_07_SetCovering_50x200.lp!$GW$32</definedName>
    <definedName name="Constraint_27" localSheetId="1" hidden="1">MODEL_07_SetCovering_50x200.lp!$C$33:$GT$33</definedName>
    <definedName name="Constraint_27_LHS" localSheetId="1" hidden="1">MODEL_07_SetCovering_50x200.lp!$GV$33</definedName>
    <definedName name="Constraint_27_RHS" localSheetId="1" hidden="1">MODEL_07_SetCovering_50x200.lp!$GX$33</definedName>
    <definedName name="Constraint_27_Sense" localSheetId="1" hidden="1">MODEL_07_SetCovering_50x200.lp!$GW$33</definedName>
    <definedName name="Constraint_28" localSheetId="1" hidden="1">MODEL_07_SetCovering_50x200.lp!$C$34:$GT$34</definedName>
    <definedName name="Constraint_28_LHS" localSheetId="1" hidden="1">MODEL_07_SetCovering_50x200.lp!$GV$34</definedName>
    <definedName name="Constraint_28_RHS" localSheetId="1" hidden="1">MODEL_07_SetCovering_50x200.lp!$GX$34</definedName>
    <definedName name="Constraint_28_Sense" localSheetId="1" hidden="1">MODEL_07_SetCovering_50x200.lp!$GW$34</definedName>
    <definedName name="Constraint_29" localSheetId="1" hidden="1">MODEL_07_SetCovering_50x200.lp!$C$35:$GT$35</definedName>
    <definedName name="Constraint_29_LHS" localSheetId="1" hidden="1">MODEL_07_SetCovering_50x200.lp!$GV$35</definedName>
    <definedName name="Constraint_29_RHS" localSheetId="1" hidden="1">MODEL_07_SetCovering_50x200.lp!$GX$35</definedName>
    <definedName name="Constraint_29_Sense" localSheetId="1" hidden="1">MODEL_07_SetCovering_50x200.lp!$GW$35</definedName>
    <definedName name="Constraint_3" localSheetId="1" hidden="1">MODEL_07_SetCovering_50x200.lp!$C$9:$GT$9</definedName>
    <definedName name="Constraint_3_LHS" localSheetId="1" hidden="1">MODEL_07_SetCovering_50x200.lp!$GV$9</definedName>
    <definedName name="Constraint_3_RHS" localSheetId="1" hidden="1">MODEL_07_SetCovering_50x200.lp!$GX$9</definedName>
    <definedName name="Constraint_3_Sense" localSheetId="1" hidden="1">MODEL_07_SetCovering_50x200.lp!$GW$9</definedName>
    <definedName name="Constraint_30" localSheetId="1" hidden="1">MODEL_07_SetCovering_50x200.lp!$C$36:$GT$36</definedName>
    <definedName name="Constraint_30_LHS" localSheetId="1" hidden="1">MODEL_07_SetCovering_50x200.lp!$GV$36</definedName>
    <definedName name="Constraint_30_RHS" localSheetId="1" hidden="1">MODEL_07_SetCovering_50x200.lp!$GX$36</definedName>
    <definedName name="Constraint_30_Sense" localSheetId="1" hidden="1">MODEL_07_SetCovering_50x200.lp!$GW$36</definedName>
    <definedName name="Constraint_31" localSheetId="1" hidden="1">MODEL_07_SetCovering_50x200.lp!$C$37:$GT$37</definedName>
    <definedName name="Constraint_31_LHS" localSheetId="1" hidden="1">MODEL_07_SetCovering_50x200.lp!$GV$37</definedName>
    <definedName name="Constraint_31_RHS" localSheetId="1" hidden="1">MODEL_07_SetCovering_50x200.lp!$GX$37</definedName>
    <definedName name="Constraint_31_Sense" localSheetId="1" hidden="1">MODEL_07_SetCovering_50x200.lp!$GW$37</definedName>
    <definedName name="Constraint_32" localSheetId="1" hidden="1">MODEL_07_SetCovering_50x200.lp!$C$38:$GT$38</definedName>
    <definedName name="Constraint_32_LHS" localSheetId="1" hidden="1">MODEL_07_SetCovering_50x200.lp!$GV$38</definedName>
    <definedName name="Constraint_32_RHS" localSheetId="1" hidden="1">MODEL_07_SetCovering_50x200.lp!$GX$38</definedName>
    <definedName name="Constraint_32_Sense" localSheetId="1" hidden="1">MODEL_07_SetCovering_50x200.lp!$GW$38</definedName>
    <definedName name="Constraint_33" localSheetId="1" hidden="1">MODEL_07_SetCovering_50x200.lp!$C$39:$GT$39</definedName>
    <definedName name="Constraint_33_LHS" localSheetId="1" hidden="1">MODEL_07_SetCovering_50x200.lp!$GV$39</definedName>
    <definedName name="Constraint_33_RHS" localSheetId="1" hidden="1">MODEL_07_SetCovering_50x200.lp!$GX$39</definedName>
    <definedName name="Constraint_33_Sense" localSheetId="1" hidden="1">MODEL_07_SetCovering_50x200.lp!$GW$39</definedName>
    <definedName name="Constraint_34" localSheetId="1" hidden="1">MODEL_07_SetCovering_50x200.lp!$C$40:$GT$40</definedName>
    <definedName name="Constraint_34_LHS" localSheetId="1" hidden="1">MODEL_07_SetCovering_50x200.lp!$GV$40</definedName>
    <definedName name="Constraint_34_RHS" localSheetId="1" hidden="1">MODEL_07_SetCovering_50x200.lp!$GX$40</definedName>
    <definedName name="Constraint_34_Sense" localSheetId="1" hidden="1">MODEL_07_SetCovering_50x200.lp!$GW$40</definedName>
    <definedName name="Constraint_35" localSheetId="1" hidden="1">MODEL_07_SetCovering_50x200.lp!$C$41:$GT$41</definedName>
    <definedName name="Constraint_35_LHS" localSheetId="1" hidden="1">MODEL_07_SetCovering_50x200.lp!$GV$41</definedName>
    <definedName name="Constraint_35_RHS" localSheetId="1" hidden="1">MODEL_07_SetCovering_50x200.lp!$GX$41</definedName>
    <definedName name="Constraint_35_Sense" localSheetId="1" hidden="1">MODEL_07_SetCovering_50x200.lp!$GW$41</definedName>
    <definedName name="Constraint_36" localSheetId="1" hidden="1">MODEL_07_SetCovering_50x200.lp!$C$42:$GT$42</definedName>
    <definedName name="Constraint_36_LHS" localSheetId="1" hidden="1">MODEL_07_SetCovering_50x200.lp!$GV$42</definedName>
    <definedName name="Constraint_36_RHS" localSheetId="1" hidden="1">MODEL_07_SetCovering_50x200.lp!$GX$42</definedName>
    <definedName name="Constraint_36_Sense" localSheetId="1" hidden="1">MODEL_07_SetCovering_50x200.lp!$GW$42</definedName>
    <definedName name="Constraint_37" localSheetId="1" hidden="1">MODEL_07_SetCovering_50x200.lp!$C$43:$GT$43</definedName>
    <definedName name="Constraint_37_LHS" localSheetId="1" hidden="1">MODEL_07_SetCovering_50x200.lp!$GV$43</definedName>
    <definedName name="Constraint_37_RHS" localSheetId="1" hidden="1">MODEL_07_SetCovering_50x200.lp!$GX$43</definedName>
    <definedName name="Constraint_37_Sense" localSheetId="1" hidden="1">MODEL_07_SetCovering_50x200.lp!$GW$43</definedName>
    <definedName name="Constraint_38" localSheetId="1" hidden="1">MODEL_07_SetCovering_50x200.lp!$C$44:$GT$44</definedName>
    <definedName name="Constraint_38_LHS" localSheetId="1" hidden="1">MODEL_07_SetCovering_50x200.lp!$GV$44</definedName>
    <definedName name="Constraint_38_RHS" localSheetId="1" hidden="1">MODEL_07_SetCovering_50x200.lp!$GX$44</definedName>
    <definedName name="Constraint_38_Sense" localSheetId="1" hidden="1">MODEL_07_SetCovering_50x200.lp!$GW$44</definedName>
    <definedName name="Constraint_39" localSheetId="1" hidden="1">MODEL_07_SetCovering_50x200.lp!$C$45:$GT$45</definedName>
    <definedName name="Constraint_39_LHS" localSheetId="1" hidden="1">MODEL_07_SetCovering_50x200.lp!$GV$45</definedName>
    <definedName name="Constraint_39_RHS" localSheetId="1" hidden="1">MODEL_07_SetCovering_50x200.lp!$GX$45</definedName>
    <definedName name="Constraint_39_Sense" localSheetId="1" hidden="1">MODEL_07_SetCovering_50x200.lp!$GW$45</definedName>
    <definedName name="Constraint_4" localSheetId="1" hidden="1">MODEL_07_SetCovering_50x200.lp!$C$10:$GT$10</definedName>
    <definedName name="Constraint_4_LHS" localSheetId="1" hidden="1">MODEL_07_SetCovering_50x200.lp!$GV$10</definedName>
    <definedName name="Constraint_4_RHS" localSheetId="1" hidden="1">MODEL_07_SetCovering_50x200.lp!$GX$10</definedName>
    <definedName name="Constraint_4_Sense" localSheetId="1" hidden="1">MODEL_07_SetCovering_50x200.lp!$GW$10</definedName>
    <definedName name="Constraint_40" localSheetId="1" hidden="1">MODEL_07_SetCovering_50x200.lp!$C$46:$GT$46</definedName>
    <definedName name="Constraint_40_LHS" localSheetId="1" hidden="1">MODEL_07_SetCovering_50x200.lp!$GV$46</definedName>
    <definedName name="Constraint_40_RHS" localSheetId="1" hidden="1">MODEL_07_SetCovering_50x200.lp!$GX$46</definedName>
    <definedName name="Constraint_40_Sense" localSheetId="1" hidden="1">MODEL_07_SetCovering_50x200.lp!$GW$46</definedName>
    <definedName name="Constraint_41" localSheetId="1" hidden="1">MODEL_07_SetCovering_50x200.lp!$C$47:$GT$47</definedName>
    <definedName name="Constraint_41_LHS" localSheetId="1" hidden="1">MODEL_07_SetCovering_50x200.lp!$GV$47</definedName>
    <definedName name="Constraint_41_RHS" localSheetId="1" hidden="1">MODEL_07_SetCovering_50x200.lp!$GX$47</definedName>
    <definedName name="Constraint_41_Sense" localSheetId="1" hidden="1">MODEL_07_SetCovering_50x200.lp!$GW$47</definedName>
    <definedName name="Constraint_42" localSheetId="1" hidden="1">MODEL_07_SetCovering_50x200.lp!$C$48:$GT$48</definedName>
    <definedName name="Constraint_42_LHS" localSheetId="1" hidden="1">MODEL_07_SetCovering_50x200.lp!$GV$48</definedName>
    <definedName name="Constraint_42_RHS" localSheetId="1" hidden="1">MODEL_07_SetCovering_50x200.lp!$GX$48</definedName>
    <definedName name="Constraint_42_Sense" localSheetId="1" hidden="1">MODEL_07_SetCovering_50x200.lp!$GW$48</definedName>
    <definedName name="Constraint_43" localSheetId="1" hidden="1">MODEL_07_SetCovering_50x200.lp!$C$49:$GT$49</definedName>
    <definedName name="Constraint_43_LHS" localSheetId="1" hidden="1">MODEL_07_SetCovering_50x200.lp!$GV$49</definedName>
    <definedName name="Constraint_43_RHS" localSheetId="1" hidden="1">MODEL_07_SetCovering_50x200.lp!$GX$49</definedName>
    <definedName name="Constraint_43_Sense" localSheetId="1" hidden="1">MODEL_07_SetCovering_50x200.lp!$GW$49</definedName>
    <definedName name="Constraint_44" localSheetId="1" hidden="1">MODEL_07_SetCovering_50x200.lp!$C$50:$GT$50</definedName>
    <definedName name="Constraint_44_LHS" localSheetId="1" hidden="1">MODEL_07_SetCovering_50x200.lp!$GV$50</definedName>
    <definedName name="Constraint_44_RHS" localSheetId="1" hidden="1">MODEL_07_SetCovering_50x200.lp!$GX$50</definedName>
    <definedName name="Constraint_44_Sense" localSheetId="1" hidden="1">MODEL_07_SetCovering_50x200.lp!$GW$50</definedName>
    <definedName name="Constraint_45" localSheetId="1" hidden="1">MODEL_07_SetCovering_50x200.lp!$C$51:$GT$51</definedName>
    <definedName name="Constraint_45_LHS" localSheetId="1" hidden="1">MODEL_07_SetCovering_50x200.lp!$GV$51</definedName>
    <definedName name="Constraint_45_RHS" localSheetId="1" hidden="1">MODEL_07_SetCovering_50x200.lp!$GX$51</definedName>
    <definedName name="Constraint_45_Sense" localSheetId="1" hidden="1">MODEL_07_SetCovering_50x200.lp!$GW$51</definedName>
    <definedName name="Constraint_46" localSheetId="1" hidden="1">MODEL_07_SetCovering_50x200.lp!$C$52:$GT$52</definedName>
    <definedName name="Constraint_46_LHS" localSheetId="1" hidden="1">MODEL_07_SetCovering_50x200.lp!$GV$52</definedName>
    <definedName name="Constraint_46_RHS" localSheetId="1" hidden="1">MODEL_07_SetCovering_50x200.lp!$GX$52</definedName>
    <definedName name="Constraint_46_Sense" localSheetId="1" hidden="1">MODEL_07_SetCovering_50x200.lp!$GW$52</definedName>
    <definedName name="Constraint_47" localSheetId="1" hidden="1">MODEL_07_SetCovering_50x200.lp!$C$53:$GT$53</definedName>
    <definedName name="Constraint_47_LHS" localSheetId="1" hidden="1">MODEL_07_SetCovering_50x200.lp!$GV$53</definedName>
    <definedName name="Constraint_47_RHS" localSheetId="1" hidden="1">MODEL_07_SetCovering_50x200.lp!$GX$53</definedName>
    <definedName name="Constraint_47_Sense" localSheetId="1" hidden="1">MODEL_07_SetCovering_50x200.lp!$GW$53</definedName>
    <definedName name="Constraint_48" localSheetId="1" hidden="1">MODEL_07_SetCovering_50x200.lp!$C$54:$GT$54</definedName>
    <definedName name="Constraint_48_LHS" localSheetId="1" hidden="1">MODEL_07_SetCovering_50x200.lp!$GV$54</definedName>
    <definedName name="Constraint_48_RHS" localSheetId="1" hidden="1">MODEL_07_SetCovering_50x200.lp!$GX$54</definedName>
    <definedName name="Constraint_48_Sense" localSheetId="1" hidden="1">MODEL_07_SetCovering_50x200.lp!$GW$54</definedName>
    <definedName name="Constraint_49" localSheetId="1" hidden="1">MODEL_07_SetCovering_50x200.lp!$C$55:$GT$55</definedName>
    <definedName name="Constraint_49_LHS" localSheetId="1" hidden="1">MODEL_07_SetCovering_50x200.lp!$GV$55</definedName>
    <definedName name="Constraint_49_RHS" localSheetId="1" hidden="1">MODEL_07_SetCovering_50x200.lp!$GX$55</definedName>
    <definedName name="Constraint_49_Sense" localSheetId="1" hidden="1">MODEL_07_SetCovering_50x200.lp!$GW$55</definedName>
    <definedName name="Constraint_5" localSheetId="1" hidden="1">MODEL_07_SetCovering_50x200.lp!$C$11:$GT$11</definedName>
    <definedName name="Constraint_5_LHS" localSheetId="1" hidden="1">MODEL_07_SetCovering_50x200.lp!$GV$11</definedName>
    <definedName name="Constraint_5_RHS" localSheetId="1" hidden="1">MODEL_07_SetCovering_50x200.lp!$GX$11</definedName>
    <definedName name="Constraint_5_Sense" localSheetId="1" hidden="1">MODEL_07_SetCovering_50x200.lp!$GW$11</definedName>
    <definedName name="Constraint_6" localSheetId="1" hidden="1">MODEL_07_SetCovering_50x200.lp!$C$12:$GT$12</definedName>
    <definedName name="Constraint_6_LHS" localSheetId="1" hidden="1">MODEL_07_SetCovering_50x200.lp!$GV$12</definedName>
    <definedName name="Constraint_6_RHS" localSheetId="1" hidden="1">MODEL_07_SetCovering_50x200.lp!$GX$12</definedName>
    <definedName name="Constraint_6_Sense" localSheetId="1" hidden="1">MODEL_07_SetCovering_50x200.lp!$GW$12</definedName>
    <definedName name="Constraint_7" localSheetId="1" hidden="1">MODEL_07_SetCovering_50x200.lp!$C$13:$GT$13</definedName>
    <definedName name="Constraint_7_LHS" localSheetId="1" hidden="1">MODEL_07_SetCovering_50x200.lp!$GV$13</definedName>
    <definedName name="Constraint_7_RHS" localSheetId="1" hidden="1">MODEL_07_SetCovering_50x200.lp!$GX$13</definedName>
    <definedName name="Constraint_7_Sense" localSheetId="1" hidden="1">MODEL_07_SetCovering_50x200.lp!$GW$13</definedName>
    <definedName name="Constraint_8" localSheetId="1" hidden="1">MODEL_07_SetCovering_50x200.lp!$C$14:$GT$14</definedName>
    <definedName name="Constraint_8_LHS" localSheetId="1" hidden="1">MODEL_07_SetCovering_50x200.lp!$GV$14</definedName>
    <definedName name="Constraint_8_RHS" localSheetId="1" hidden="1">MODEL_07_SetCovering_50x200.lp!$GX$14</definedName>
    <definedName name="Constraint_8_Sense" localSheetId="1" hidden="1">MODEL_07_SetCovering_50x200.lp!$GW$14</definedName>
    <definedName name="Constraint_9" localSheetId="1" hidden="1">MODEL_07_SetCovering_50x200.lp!$C$15:$GT$15</definedName>
    <definedName name="Constraint_9_LHS" localSheetId="1" hidden="1">MODEL_07_SetCovering_50x200.lp!$GV$15</definedName>
    <definedName name="Constraint_9_RHS" localSheetId="1" hidden="1">MODEL_07_SetCovering_50x200.lp!$GX$15</definedName>
    <definedName name="Constraint_9_Sense" localSheetId="1" hidden="1">MODEL_07_SetCovering_50x200.lp!$GW$15</definedName>
    <definedName name="ConstraintBlock_0_LHS" localSheetId="1" hidden="1">MODEL_07_SetCovering_50x200.lp!$GV$6:$GV$55</definedName>
    <definedName name="ConstraintBlock_0_RHS" localSheetId="1" hidden="1">MODEL_07_SetCovering_50x200.lp!$GX$6:$GX$55</definedName>
    <definedName name="ConstraintCalcs" localSheetId="1" hidden="1">MODEL_07_SetCovering_50x200.lp!$GV$6:$GX$55</definedName>
    <definedName name="ConstraintNames" localSheetId="1" hidden="1">MODEL_07_SetCovering_50x200.lp!$B$6:$B$55</definedName>
    <definedName name="Decision_variables" localSheetId="1" hidden="1">MODEL_07_SetCovering_50x200.lp!$C$2:$GT$2</definedName>
    <definedName name="Lower_bounds" localSheetId="1" hidden="1">MODEL_07_SetCovering_50x200.lp!$C$57:$GT$57</definedName>
    <definedName name="Objective_coefficients" localSheetId="1" hidden="1">MODEL_07_SetCovering_50x200.lp!$C$4:$GT$4</definedName>
    <definedName name="Objective_Function" localSheetId="1" hidden="1">MODEL_07_SetCovering_50x200.lp!$GV$4</definedName>
    <definedName name="OpenSolver_ChosenSolver" localSheetId="1" hidden="1">CBC</definedName>
    <definedName name="OpenSolver_DualsNewSheet" localSheetId="1" hidden="1">0</definedName>
    <definedName name="OpenSolver_LinearityCheck" localSheetId="1" hidden="1">1</definedName>
    <definedName name="solver_adj" localSheetId="1" hidden="1">MODEL_07_SetCovering_50x200.lp!$C$2:$GT$2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MODEL_07_SetCovering_50x200.lp!$GV$6:$GV$55</definedName>
    <definedName name="solver_lhs10" localSheetId="1" hidden="1">MODEL_07_SetCovering_50x200.lp!$M$2</definedName>
    <definedName name="solver_lhs100" localSheetId="1" hidden="1">MODEL_07_SetCovering_50x200.lp!$DY$2</definedName>
    <definedName name="solver_lhs101" localSheetId="1" hidden="1">MODEL_07_SetCovering_50x200.lp!$DX$2</definedName>
    <definedName name="solver_lhs102" localSheetId="1" hidden="1">MODEL_07_SetCovering_50x200.lp!$DW$2</definedName>
    <definedName name="solver_lhs103" localSheetId="1" hidden="1">MODEL_07_SetCovering_50x200.lp!$DV$2</definedName>
    <definedName name="solver_lhs104" localSheetId="1" hidden="1">MODEL_07_SetCovering_50x200.lp!$DU$2</definedName>
    <definedName name="solver_lhs105" localSheetId="1" hidden="1">MODEL_07_SetCovering_50x200.lp!$DT$2</definedName>
    <definedName name="solver_lhs106" localSheetId="1" hidden="1">MODEL_07_SetCovering_50x200.lp!$DS$2</definedName>
    <definedName name="solver_lhs107" localSheetId="1" hidden="1">MODEL_07_SetCovering_50x200.lp!$DR$2</definedName>
    <definedName name="solver_lhs108" localSheetId="1" hidden="1">MODEL_07_SetCovering_50x200.lp!$DQ$2</definedName>
    <definedName name="solver_lhs109" localSheetId="1" hidden="1">MODEL_07_SetCovering_50x200.lp!$DP$2</definedName>
    <definedName name="solver_lhs11" localSheetId="1" hidden="1">MODEL_07_SetCovering_50x200.lp!$N$2</definedName>
    <definedName name="solver_lhs110" localSheetId="1" hidden="1">MODEL_07_SetCovering_50x200.lp!$DO$2</definedName>
    <definedName name="solver_lhs111" localSheetId="1" hidden="1">MODEL_07_SetCovering_50x200.lp!$DN$2</definedName>
    <definedName name="solver_lhs112" localSheetId="1" hidden="1">MODEL_07_SetCovering_50x200.lp!$DM$2</definedName>
    <definedName name="solver_lhs113" localSheetId="1" hidden="1">MODEL_07_SetCovering_50x200.lp!$DL$2</definedName>
    <definedName name="solver_lhs114" localSheetId="1" hidden="1">MODEL_07_SetCovering_50x200.lp!$DK$2</definedName>
    <definedName name="solver_lhs115" localSheetId="1" hidden="1">MODEL_07_SetCovering_50x200.lp!$DJ$2</definedName>
    <definedName name="solver_lhs116" localSheetId="1" hidden="1">MODEL_07_SetCovering_50x200.lp!$DI$2</definedName>
    <definedName name="solver_lhs117" localSheetId="1" hidden="1">MODEL_07_SetCovering_50x200.lp!$DH$2</definedName>
    <definedName name="solver_lhs118" localSheetId="1" hidden="1">MODEL_07_SetCovering_50x200.lp!$DG$2</definedName>
    <definedName name="solver_lhs119" localSheetId="1" hidden="1">MODEL_07_SetCovering_50x200.lp!$DF$2</definedName>
    <definedName name="solver_lhs12" localSheetId="1" hidden="1">MODEL_07_SetCovering_50x200.lp!$O$2</definedName>
    <definedName name="solver_lhs120" localSheetId="1" hidden="1">MODEL_07_SetCovering_50x200.lp!$DE$2</definedName>
    <definedName name="solver_lhs121" localSheetId="1" hidden="1">MODEL_07_SetCovering_50x200.lp!$DD$2</definedName>
    <definedName name="solver_lhs122" localSheetId="1" hidden="1">MODEL_07_SetCovering_50x200.lp!$DC$2</definedName>
    <definedName name="solver_lhs123" localSheetId="1" hidden="1">MODEL_07_SetCovering_50x200.lp!$DB$2</definedName>
    <definedName name="solver_lhs124" localSheetId="1" hidden="1">MODEL_07_SetCovering_50x200.lp!$DA$2</definedName>
    <definedName name="solver_lhs125" localSheetId="1" hidden="1">MODEL_07_SetCovering_50x200.lp!$C$2</definedName>
    <definedName name="solver_lhs126" localSheetId="1" hidden="1">MODEL_07_SetCovering_50x200.lp!$CH$2</definedName>
    <definedName name="solver_lhs127" localSheetId="1" hidden="1">MODEL_07_SetCovering_50x200.lp!$CI$2</definedName>
    <definedName name="solver_lhs128" localSheetId="1" hidden="1">MODEL_07_SetCovering_50x200.lp!$CR$2</definedName>
    <definedName name="solver_lhs129" localSheetId="1" hidden="1">MODEL_07_SetCovering_50x200.lp!$CV$2</definedName>
    <definedName name="solver_lhs13" localSheetId="1" hidden="1">MODEL_07_SetCovering_50x200.lp!$P$2</definedName>
    <definedName name="solver_lhs130" localSheetId="1" hidden="1">MODEL_07_SetCovering_50x200.lp!$CX$2</definedName>
    <definedName name="solver_lhs131" localSheetId="1" hidden="1">MODEL_07_SetCovering_50x200.lp!$CY$2</definedName>
    <definedName name="solver_lhs132" localSheetId="1" hidden="1">MODEL_07_SetCovering_50x200.lp!$CZ$2</definedName>
    <definedName name="solver_lhs133" localSheetId="1" hidden="1">MODEL_07_SetCovering_50x200.lp!$CW$2</definedName>
    <definedName name="solver_lhs134" localSheetId="1" hidden="1">MODEL_07_SetCovering_50x200.lp!$CU$2</definedName>
    <definedName name="solver_lhs135" localSheetId="1" hidden="1">MODEL_07_SetCovering_50x200.lp!$CT$2</definedName>
    <definedName name="solver_lhs136" localSheetId="1" hidden="1">MODEL_07_SetCovering_50x200.lp!$CS$2</definedName>
    <definedName name="solver_lhs137" localSheetId="1" hidden="1">MODEL_07_SetCovering_50x200.lp!$CQ$2</definedName>
    <definedName name="solver_lhs138" localSheetId="1" hidden="1">MODEL_07_SetCovering_50x200.lp!$CP$2</definedName>
    <definedName name="solver_lhs139" localSheetId="1" hidden="1">MODEL_07_SetCovering_50x200.lp!$CO$2</definedName>
    <definedName name="solver_lhs14" localSheetId="1" hidden="1">MODEL_07_SetCovering_50x200.lp!$Q$2</definedName>
    <definedName name="solver_lhs140" localSheetId="1" hidden="1">MODEL_07_SetCovering_50x200.lp!$CN$2</definedName>
    <definedName name="solver_lhs141" localSheetId="1" hidden="1">MODEL_07_SetCovering_50x200.lp!$CM$2</definedName>
    <definedName name="solver_lhs142" localSheetId="1" hidden="1">MODEL_07_SetCovering_50x200.lp!$CL$2</definedName>
    <definedName name="solver_lhs143" localSheetId="1" hidden="1">MODEL_07_SetCovering_50x200.lp!$CK$2</definedName>
    <definedName name="solver_lhs144" localSheetId="1" hidden="1">MODEL_07_SetCovering_50x200.lp!$CJ$2</definedName>
    <definedName name="solver_lhs145" localSheetId="1" hidden="1">MODEL_07_SetCovering_50x200.lp!$CG$2</definedName>
    <definedName name="solver_lhs146" localSheetId="1" hidden="1">MODEL_07_SetCovering_50x200.lp!$CF$2</definedName>
    <definedName name="solver_lhs147" localSheetId="1" hidden="1">MODEL_07_SetCovering_50x200.lp!$CE$2</definedName>
    <definedName name="solver_lhs148" localSheetId="1" hidden="1">MODEL_07_SetCovering_50x200.lp!$CD$2</definedName>
    <definedName name="solver_lhs149" localSheetId="1" hidden="1">MODEL_07_SetCovering_50x200.lp!$CC$2</definedName>
    <definedName name="solver_lhs15" localSheetId="1" hidden="1">MODEL_07_SetCovering_50x200.lp!$R$2</definedName>
    <definedName name="solver_lhs150" localSheetId="1" hidden="1">MODEL_07_SetCovering_50x200.lp!$CB$2</definedName>
    <definedName name="solver_lhs151" localSheetId="1" hidden="1">MODEL_07_SetCovering_50x200.lp!$CA$2</definedName>
    <definedName name="solver_lhs152" localSheetId="1" hidden="1">MODEL_07_SetCovering_50x200.lp!$AA$2</definedName>
    <definedName name="solver_lhs153" localSheetId="1" hidden="1">MODEL_07_SetCovering_50x200.lp!$AB$2</definedName>
    <definedName name="solver_lhs154" localSheetId="1" hidden="1">MODEL_07_SetCovering_50x200.lp!$AC$2</definedName>
    <definedName name="solver_lhs155" localSheetId="1" hidden="1">MODEL_07_SetCovering_50x200.lp!$AD$2</definedName>
    <definedName name="solver_lhs156" localSheetId="1" hidden="1">MODEL_07_SetCovering_50x200.lp!$AE$2</definedName>
    <definedName name="solver_lhs157" localSheetId="1" hidden="1">MODEL_07_SetCovering_50x200.lp!$AF$2</definedName>
    <definedName name="solver_lhs158" localSheetId="1" hidden="1">MODEL_07_SetCovering_50x200.lp!$AG$2</definedName>
    <definedName name="solver_lhs159" localSheetId="1" hidden="1">MODEL_07_SetCovering_50x200.lp!$AH$2</definedName>
    <definedName name="solver_lhs16" localSheetId="1" hidden="1">MODEL_07_SetCovering_50x200.lp!$S$2</definedName>
    <definedName name="solver_lhs160" localSheetId="1" hidden="1">MODEL_07_SetCovering_50x200.lp!$AI$2</definedName>
    <definedName name="solver_lhs161" localSheetId="1" hidden="1">MODEL_07_SetCovering_50x200.lp!$AJ$2</definedName>
    <definedName name="solver_lhs162" localSheetId="1" hidden="1">MODEL_07_SetCovering_50x200.lp!$AK$2</definedName>
    <definedName name="solver_lhs163" localSheetId="1" hidden="1">MODEL_07_SetCovering_50x200.lp!$AL$2</definedName>
    <definedName name="solver_lhs164" localSheetId="1" hidden="1">MODEL_07_SetCovering_50x200.lp!$AM$2</definedName>
    <definedName name="solver_lhs165" localSheetId="1" hidden="1">MODEL_07_SetCovering_50x200.lp!$AN$2</definedName>
    <definedName name="solver_lhs166" localSheetId="1" hidden="1">MODEL_07_SetCovering_50x200.lp!$AO$2</definedName>
    <definedName name="solver_lhs167" localSheetId="1" hidden="1">MODEL_07_SetCovering_50x200.lp!$AP$2</definedName>
    <definedName name="solver_lhs168" localSheetId="1" hidden="1">MODEL_07_SetCovering_50x200.lp!$AQ$2</definedName>
    <definedName name="solver_lhs169" localSheetId="1" hidden="1">MODEL_07_SetCovering_50x200.lp!$AR$2</definedName>
    <definedName name="solver_lhs17" localSheetId="1" hidden="1">MODEL_07_SetCovering_50x200.lp!$T$2</definedName>
    <definedName name="solver_lhs170" localSheetId="1" hidden="1">MODEL_07_SetCovering_50x200.lp!$AS$2</definedName>
    <definedName name="solver_lhs171" localSheetId="1" hidden="1">MODEL_07_SetCovering_50x200.lp!$AT$2</definedName>
    <definedName name="solver_lhs172" localSheetId="1" hidden="1">MODEL_07_SetCovering_50x200.lp!$AU$2</definedName>
    <definedName name="solver_lhs173" localSheetId="1" hidden="1">MODEL_07_SetCovering_50x200.lp!$AV$2</definedName>
    <definedName name="solver_lhs174" localSheetId="1" hidden="1">MODEL_07_SetCovering_50x200.lp!$AW$2</definedName>
    <definedName name="solver_lhs175" localSheetId="1" hidden="1">MODEL_07_SetCovering_50x200.lp!$AX$2</definedName>
    <definedName name="solver_lhs176" localSheetId="1" hidden="1">MODEL_07_SetCovering_50x200.lp!$AY$2</definedName>
    <definedName name="solver_lhs177" localSheetId="1" hidden="1">MODEL_07_SetCovering_50x200.lp!$AZ$2</definedName>
    <definedName name="solver_lhs178" localSheetId="1" hidden="1">MODEL_07_SetCovering_50x200.lp!$BA$2</definedName>
    <definedName name="solver_lhs179" localSheetId="1" hidden="1">MODEL_07_SetCovering_50x200.lp!$BB$2</definedName>
    <definedName name="solver_lhs18" localSheetId="1" hidden="1">MODEL_07_SetCovering_50x200.lp!$U$2</definedName>
    <definedName name="solver_lhs180" localSheetId="1" hidden="1">MODEL_07_SetCovering_50x200.lp!$BC$2</definedName>
    <definedName name="solver_lhs181" localSheetId="1" hidden="1">MODEL_07_SetCovering_50x200.lp!$BD$2</definedName>
    <definedName name="solver_lhs182" localSheetId="1" hidden="1">MODEL_07_SetCovering_50x200.lp!$BE$2</definedName>
    <definedName name="solver_lhs183" localSheetId="1" hidden="1">MODEL_07_SetCovering_50x200.lp!$BF$2</definedName>
    <definedName name="solver_lhs184" localSheetId="1" hidden="1">MODEL_07_SetCovering_50x200.lp!$BG$2</definedName>
    <definedName name="solver_lhs185" localSheetId="1" hidden="1">MODEL_07_SetCovering_50x200.lp!$BH$2</definedName>
    <definedName name="solver_lhs186" localSheetId="1" hidden="1">MODEL_07_SetCovering_50x200.lp!$BI$2</definedName>
    <definedName name="solver_lhs187" localSheetId="1" hidden="1">MODEL_07_SetCovering_50x200.lp!$BJ$2</definedName>
    <definedName name="solver_lhs188" localSheetId="1" hidden="1">MODEL_07_SetCovering_50x200.lp!$BK$2</definedName>
    <definedName name="solver_lhs189" localSheetId="1" hidden="1">MODEL_07_SetCovering_50x200.lp!$BL$2</definedName>
    <definedName name="solver_lhs19" localSheetId="1" hidden="1">MODEL_07_SetCovering_50x200.lp!$V$2</definedName>
    <definedName name="solver_lhs190" localSheetId="1" hidden="1">MODEL_07_SetCovering_50x200.lp!$BM$2</definedName>
    <definedName name="solver_lhs191" localSheetId="1" hidden="1">MODEL_07_SetCovering_50x200.lp!$BN$2</definedName>
    <definedName name="solver_lhs192" localSheetId="1" hidden="1">MODEL_07_SetCovering_50x200.lp!$BO$2</definedName>
    <definedName name="solver_lhs193" localSheetId="1" hidden="1">MODEL_07_SetCovering_50x200.lp!$BP$2</definedName>
    <definedName name="solver_lhs194" localSheetId="1" hidden="1">MODEL_07_SetCovering_50x200.lp!$BQ$2</definedName>
    <definedName name="solver_lhs195" localSheetId="1" hidden="1">MODEL_07_SetCovering_50x200.lp!$BR$2</definedName>
    <definedName name="solver_lhs196" localSheetId="1" hidden="1">MODEL_07_SetCovering_50x200.lp!$BS$2</definedName>
    <definedName name="solver_lhs197" localSheetId="1" hidden="1">MODEL_07_SetCovering_50x200.lp!$BT$2</definedName>
    <definedName name="solver_lhs198" localSheetId="1" hidden="1">MODEL_07_SetCovering_50x200.lp!$BU$2</definedName>
    <definedName name="solver_lhs199" localSheetId="1" hidden="1">MODEL_07_SetCovering_50x200.lp!$BV$2</definedName>
    <definedName name="solver_lhs2" localSheetId="1" hidden="1">MODEL_07_SetCovering_50x200.lp!$C$2:$GT$2</definedName>
    <definedName name="solver_lhs20" localSheetId="1" hidden="1">MODEL_07_SetCovering_50x200.lp!$W$2</definedName>
    <definedName name="solver_lhs200" localSheetId="1" hidden="1">MODEL_07_SetCovering_50x200.lp!$BW$2</definedName>
    <definedName name="solver_lhs201" localSheetId="1" hidden="1">MODEL_07_SetCovering_50x200.lp!$BX$2</definedName>
    <definedName name="solver_lhs202" localSheetId="1" hidden="1">MODEL_07_SetCovering_50x200.lp!$BY$2</definedName>
    <definedName name="solver_lhs203" localSheetId="1" hidden="1">MODEL_07_SetCovering_50x200.lp!$BZ$2</definedName>
    <definedName name="solver_lhs21" localSheetId="1" hidden="1">MODEL_07_SetCovering_50x200.lp!$X$2</definedName>
    <definedName name="solver_lhs22" localSheetId="1" hidden="1">MODEL_07_SetCovering_50x200.lp!$Y$2</definedName>
    <definedName name="solver_lhs23" localSheetId="1" hidden="1">MODEL_07_SetCovering_50x200.lp!$Z$2</definedName>
    <definedName name="solver_lhs24" localSheetId="1" hidden="1">MODEL_07_SetCovering_50x200.lp!$F$2</definedName>
    <definedName name="solver_lhs25" localSheetId="1" hidden="1">MODEL_07_SetCovering_50x200.lp!$FW$2</definedName>
    <definedName name="solver_lhs26" localSheetId="1" hidden="1">MODEL_07_SetCovering_50x200.lp!$FX$2</definedName>
    <definedName name="solver_lhs27" localSheetId="1" hidden="1">MODEL_07_SetCovering_50x200.lp!$GN$2</definedName>
    <definedName name="solver_lhs28" localSheetId="1" hidden="1">MODEL_07_SetCovering_50x200.lp!$GS$2</definedName>
    <definedName name="solver_lhs29" localSheetId="1" hidden="1">MODEL_07_SetCovering_50x200.lp!$GT$2</definedName>
    <definedName name="solver_lhs3" localSheetId="1" hidden="1">MODEL_07_SetCovering_50x200.lp!$C$2:$GT$2</definedName>
    <definedName name="solver_lhs30" localSheetId="1" hidden="1">MODEL_07_SetCovering_50x200.lp!$E$2</definedName>
    <definedName name="solver_lhs31" localSheetId="1" hidden="1">MODEL_07_SetCovering_50x200.lp!$FK$2</definedName>
    <definedName name="solver_lhs32" localSheetId="1" hidden="1">MODEL_07_SetCovering_50x200.lp!$FL$2</definedName>
    <definedName name="solver_lhs33" localSheetId="1" hidden="1">MODEL_07_SetCovering_50x200.lp!$GA$2</definedName>
    <definedName name="solver_lhs34" localSheetId="1" hidden="1">MODEL_07_SetCovering_50x200.lp!$GB$2</definedName>
    <definedName name="solver_lhs35" localSheetId="1" hidden="1">MODEL_07_SetCovering_50x200.lp!$GI$2</definedName>
    <definedName name="solver_lhs36" localSheetId="1" hidden="1">MODEL_07_SetCovering_50x200.lp!$GO$2</definedName>
    <definedName name="solver_lhs37" localSheetId="1" hidden="1">MODEL_07_SetCovering_50x200.lp!$GP$2</definedName>
    <definedName name="solver_lhs38" localSheetId="1" hidden="1">MODEL_07_SetCovering_50x200.lp!$GR$2</definedName>
    <definedName name="solver_lhs39" localSheetId="1" hidden="1">MODEL_07_SetCovering_50x200.lp!$D$2</definedName>
    <definedName name="solver_lhs4" localSheetId="1" hidden="1">MODEL_07_SetCovering_50x200.lp!$G$2</definedName>
    <definedName name="solver_lhs40" localSheetId="1" hidden="1">MODEL_07_SetCovering_50x200.lp!$ES$2</definedName>
    <definedName name="solver_lhs41" localSheetId="1" hidden="1">MODEL_07_SetCovering_50x200.lp!$ET$2</definedName>
    <definedName name="solver_lhs42" localSheetId="1" hidden="1">MODEL_07_SetCovering_50x200.lp!$FY$2</definedName>
    <definedName name="solver_lhs43" localSheetId="1" hidden="1">MODEL_07_SetCovering_50x200.lp!$FZ$2</definedName>
    <definedName name="solver_lhs44" localSheetId="1" hidden="1">MODEL_07_SetCovering_50x200.lp!$GJ$2</definedName>
    <definedName name="solver_lhs45" localSheetId="1" hidden="1">MODEL_07_SetCovering_50x200.lp!$GL$2</definedName>
    <definedName name="solver_lhs46" localSheetId="1" hidden="1">MODEL_07_SetCovering_50x200.lp!$GM$2</definedName>
    <definedName name="solver_lhs47" localSheetId="1" hidden="1">MODEL_07_SetCovering_50x200.lp!$GQ$2</definedName>
    <definedName name="solver_lhs48" localSheetId="1" hidden="1">MODEL_07_SetCovering_50x200.lp!$GK$2</definedName>
    <definedName name="solver_lhs49" localSheetId="1" hidden="1">MODEL_07_SetCovering_50x200.lp!$GH$2</definedName>
    <definedName name="solver_lhs5" localSheetId="1" hidden="1">MODEL_07_SetCovering_50x200.lp!$H$2</definedName>
    <definedName name="solver_lhs50" localSheetId="1" hidden="1">MODEL_07_SetCovering_50x200.lp!$GG$2</definedName>
    <definedName name="solver_lhs51" localSheetId="1" hidden="1">MODEL_07_SetCovering_50x200.lp!$GF$2</definedName>
    <definedName name="solver_lhs52" localSheetId="1" hidden="1">MODEL_07_SetCovering_50x200.lp!$GE$2</definedName>
    <definedName name="solver_lhs53" localSheetId="1" hidden="1">MODEL_07_SetCovering_50x200.lp!$GD$2</definedName>
    <definedName name="solver_lhs54" localSheetId="1" hidden="1">MODEL_07_SetCovering_50x200.lp!$GC$2</definedName>
    <definedName name="solver_lhs55" localSheetId="1" hidden="1">MODEL_07_SetCovering_50x200.lp!$FV$2</definedName>
    <definedName name="solver_lhs56" localSheetId="1" hidden="1">MODEL_07_SetCovering_50x200.lp!$FU$2</definedName>
    <definedName name="solver_lhs57" localSheetId="1" hidden="1">MODEL_07_SetCovering_50x200.lp!$FT$2</definedName>
    <definedName name="solver_lhs58" localSheetId="1" hidden="1">MODEL_07_SetCovering_50x200.lp!$FS$2</definedName>
    <definedName name="solver_lhs59" localSheetId="1" hidden="1">MODEL_07_SetCovering_50x200.lp!$FR$2</definedName>
    <definedName name="solver_lhs6" localSheetId="1" hidden="1">MODEL_07_SetCovering_50x200.lp!$I$2</definedName>
    <definedName name="solver_lhs60" localSheetId="1" hidden="1">MODEL_07_SetCovering_50x200.lp!$FQ$2</definedName>
    <definedName name="solver_lhs61" localSheetId="1" hidden="1">MODEL_07_SetCovering_50x200.lp!$FP$2</definedName>
    <definedName name="solver_lhs62" localSheetId="1" hidden="1">MODEL_07_SetCovering_50x200.lp!$FO$2</definedName>
    <definedName name="solver_lhs63" localSheetId="1" hidden="1">MODEL_07_SetCovering_50x200.lp!$FN$2</definedName>
    <definedName name="solver_lhs64" localSheetId="1" hidden="1">MODEL_07_SetCovering_50x200.lp!$FM$2</definedName>
    <definedName name="solver_lhs65" localSheetId="1" hidden="1">MODEL_07_SetCovering_50x200.lp!$FJ$2</definedName>
    <definedName name="solver_lhs66" localSheetId="1" hidden="1">MODEL_07_SetCovering_50x200.lp!$FI$2</definedName>
    <definedName name="solver_lhs67" localSheetId="1" hidden="1">MODEL_07_SetCovering_50x200.lp!$FH$2</definedName>
    <definedName name="solver_lhs68" localSheetId="1" hidden="1">MODEL_07_SetCovering_50x200.lp!$FG$2</definedName>
    <definedName name="solver_lhs69" localSheetId="1" hidden="1">MODEL_07_SetCovering_50x200.lp!$FF$2</definedName>
    <definedName name="solver_lhs7" localSheetId="1" hidden="1">MODEL_07_SetCovering_50x200.lp!$J$2</definedName>
    <definedName name="solver_lhs70" localSheetId="1" hidden="1">MODEL_07_SetCovering_50x200.lp!$FE$2</definedName>
    <definedName name="solver_lhs71" localSheetId="1" hidden="1">MODEL_07_SetCovering_50x200.lp!$FD$2</definedName>
    <definedName name="solver_lhs72" localSheetId="1" hidden="1">MODEL_07_SetCovering_50x200.lp!$FC$2</definedName>
    <definedName name="solver_lhs73" localSheetId="1" hidden="1">MODEL_07_SetCovering_50x200.lp!$FB$2</definedName>
    <definedName name="solver_lhs74" localSheetId="1" hidden="1">MODEL_07_SetCovering_50x200.lp!$FA$2</definedName>
    <definedName name="solver_lhs75" localSheetId="1" hidden="1">MODEL_07_SetCovering_50x200.lp!$EZ$2</definedName>
    <definedName name="solver_lhs76" localSheetId="1" hidden="1">MODEL_07_SetCovering_50x200.lp!$EY$2</definedName>
    <definedName name="solver_lhs77" localSheetId="1" hidden="1">MODEL_07_SetCovering_50x200.lp!$EX$2</definedName>
    <definedName name="solver_lhs78" localSheetId="1" hidden="1">MODEL_07_SetCovering_50x200.lp!$EW$2</definedName>
    <definedName name="solver_lhs79" localSheetId="1" hidden="1">MODEL_07_SetCovering_50x200.lp!$EV$2</definedName>
    <definedName name="solver_lhs8" localSheetId="1" hidden="1">MODEL_07_SetCovering_50x200.lp!$K$2</definedName>
    <definedName name="solver_lhs80" localSheetId="1" hidden="1">MODEL_07_SetCovering_50x200.lp!$EU$2</definedName>
    <definedName name="solver_lhs81" localSheetId="1" hidden="1">MODEL_07_SetCovering_50x200.lp!$ER$2</definedName>
    <definedName name="solver_lhs82" localSheetId="1" hidden="1">MODEL_07_SetCovering_50x200.lp!$EQ$2</definedName>
    <definedName name="solver_lhs83" localSheetId="1" hidden="1">MODEL_07_SetCovering_50x200.lp!$EP$2</definedName>
    <definedName name="solver_lhs84" localSheetId="1" hidden="1">MODEL_07_SetCovering_50x200.lp!$EO$2</definedName>
    <definedName name="solver_lhs85" localSheetId="1" hidden="1">MODEL_07_SetCovering_50x200.lp!$EN$2</definedName>
    <definedName name="solver_lhs86" localSheetId="1" hidden="1">MODEL_07_SetCovering_50x200.lp!$EM$2</definedName>
    <definedName name="solver_lhs87" localSheetId="1" hidden="1">MODEL_07_SetCovering_50x200.lp!$EL$2</definedName>
    <definedName name="solver_lhs88" localSheetId="1" hidden="1">MODEL_07_SetCovering_50x200.lp!$EK$2</definedName>
    <definedName name="solver_lhs89" localSheetId="1" hidden="1">MODEL_07_SetCovering_50x200.lp!$EJ$2</definedName>
    <definedName name="solver_lhs9" localSheetId="1" hidden="1">MODEL_07_SetCovering_50x200.lp!$L$2</definedName>
    <definedName name="solver_lhs90" localSheetId="1" hidden="1">MODEL_07_SetCovering_50x200.lp!$EI$2</definedName>
    <definedName name="solver_lhs91" localSheetId="1" hidden="1">MODEL_07_SetCovering_50x200.lp!$EH$2</definedName>
    <definedName name="solver_lhs92" localSheetId="1" hidden="1">MODEL_07_SetCovering_50x200.lp!$EG$2</definedName>
    <definedName name="solver_lhs93" localSheetId="1" hidden="1">MODEL_07_SetCovering_50x200.lp!$EF$2</definedName>
    <definedName name="solver_lhs94" localSheetId="1" hidden="1">MODEL_07_SetCovering_50x200.lp!$EE$2</definedName>
    <definedName name="solver_lhs95" localSheetId="1" hidden="1">MODEL_07_SetCovering_50x200.lp!$ED$2</definedName>
    <definedName name="solver_lhs96" localSheetId="1" hidden="1">MODEL_07_SetCovering_50x200.lp!$EC$2</definedName>
    <definedName name="solver_lhs97" localSheetId="1" hidden="1">MODEL_07_SetCovering_50x200.lp!$EB$2</definedName>
    <definedName name="solver_lhs98" localSheetId="1" hidden="1">MODEL_07_SetCovering_50x200.lp!$EA$2</definedName>
    <definedName name="solver_lhs99" localSheetId="1" hidden="1">MODEL_07_SetCovering_50x200.lp!$DZ$2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203</definedName>
    <definedName name="solver_nwt" localSheetId="1" hidden="1">1</definedName>
    <definedName name="solver_opt" localSheetId="1" hidden="1">MODEL_07_SetCovering_50x200.lp!$GV$4</definedName>
    <definedName name="solver_pre" localSheetId="1" hidden="1">0.000001</definedName>
    <definedName name="solver_rbv" localSheetId="1" hidden="1">2</definedName>
    <definedName name="solver_rel1" localSheetId="1" hidden="1">3</definedName>
    <definedName name="solver_rel10" localSheetId="1" hidden="1">5</definedName>
    <definedName name="solver_rel100" localSheetId="1" hidden="1">5</definedName>
    <definedName name="solver_rel101" localSheetId="1" hidden="1">5</definedName>
    <definedName name="solver_rel102" localSheetId="1" hidden="1">5</definedName>
    <definedName name="solver_rel103" localSheetId="1" hidden="1">5</definedName>
    <definedName name="solver_rel104" localSheetId="1" hidden="1">5</definedName>
    <definedName name="solver_rel105" localSheetId="1" hidden="1">5</definedName>
    <definedName name="solver_rel106" localSheetId="1" hidden="1">5</definedName>
    <definedName name="solver_rel107" localSheetId="1" hidden="1">5</definedName>
    <definedName name="solver_rel108" localSheetId="1" hidden="1">5</definedName>
    <definedName name="solver_rel109" localSheetId="1" hidden="1">5</definedName>
    <definedName name="solver_rel11" localSheetId="1" hidden="1">5</definedName>
    <definedName name="solver_rel110" localSheetId="1" hidden="1">5</definedName>
    <definedName name="solver_rel111" localSheetId="1" hidden="1">5</definedName>
    <definedName name="solver_rel112" localSheetId="1" hidden="1">5</definedName>
    <definedName name="solver_rel113" localSheetId="1" hidden="1">5</definedName>
    <definedName name="solver_rel114" localSheetId="1" hidden="1">5</definedName>
    <definedName name="solver_rel115" localSheetId="1" hidden="1">5</definedName>
    <definedName name="solver_rel116" localSheetId="1" hidden="1">5</definedName>
    <definedName name="solver_rel117" localSheetId="1" hidden="1">5</definedName>
    <definedName name="solver_rel118" localSheetId="1" hidden="1">5</definedName>
    <definedName name="solver_rel119" localSheetId="1" hidden="1">5</definedName>
    <definedName name="solver_rel12" localSheetId="1" hidden="1">5</definedName>
    <definedName name="solver_rel120" localSheetId="1" hidden="1">5</definedName>
    <definedName name="solver_rel121" localSheetId="1" hidden="1">5</definedName>
    <definedName name="solver_rel122" localSheetId="1" hidden="1">5</definedName>
    <definedName name="solver_rel123" localSheetId="1" hidden="1">5</definedName>
    <definedName name="solver_rel124" localSheetId="1" hidden="1">5</definedName>
    <definedName name="solver_rel125" localSheetId="1" hidden="1">5</definedName>
    <definedName name="solver_rel126" localSheetId="1" hidden="1">5</definedName>
    <definedName name="solver_rel127" localSheetId="1" hidden="1">5</definedName>
    <definedName name="solver_rel128" localSheetId="1" hidden="1">5</definedName>
    <definedName name="solver_rel129" localSheetId="1" hidden="1">5</definedName>
    <definedName name="solver_rel13" localSheetId="1" hidden="1">5</definedName>
    <definedName name="solver_rel130" localSheetId="1" hidden="1">5</definedName>
    <definedName name="solver_rel131" localSheetId="1" hidden="1">5</definedName>
    <definedName name="solver_rel132" localSheetId="1" hidden="1">5</definedName>
    <definedName name="solver_rel133" localSheetId="1" hidden="1">5</definedName>
    <definedName name="solver_rel134" localSheetId="1" hidden="1">5</definedName>
    <definedName name="solver_rel135" localSheetId="1" hidden="1">5</definedName>
    <definedName name="solver_rel136" localSheetId="1" hidden="1">5</definedName>
    <definedName name="solver_rel137" localSheetId="1" hidden="1">5</definedName>
    <definedName name="solver_rel138" localSheetId="1" hidden="1">5</definedName>
    <definedName name="solver_rel139" localSheetId="1" hidden="1">5</definedName>
    <definedName name="solver_rel14" localSheetId="1" hidden="1">5</definedName>
    <definedName name="solver_rel140" localSheetId="1" hidden="1">5</definedName>
    <definedName name="solver_rel141" localSheetId="1" hidden="1">5</definedName>
    <definedName name="solver_rel142" localSheetId="1" hidden="1">5</definedName>
    <definedName name="solver_rel143" localSheetId="1" hidden="1">5</definedName>
    <definedName name="solver_rel144" localSheetId="1" hidden="1">5</definedName>
    <definedName name="solver_rel145" localSheetId="1" hidden="1">5</definedName>
    <definedName name="solver_rel146" localSheetId="1" hidden="1">5</definedName>
    <definedName name="solver_rel147" localSheetId="1" hidden="1">5</definedName>
    <definedName name="solver_rel148" localSheetId="1" hidden="1">5</definedName>
    <definedName name="solver_rel149" localSheetId="1" hidden="1">5</definedName>
    <definedName name="solver_rel15" localSheetId="1" hidden="1">5</definedName>
    <definedName name="solver_rel150" localSheetId="1" hidden="1">5</definedName>
    <definedName name="solver_rel151" localSheetId="1" hidden="1">5</definedName>
    <definedName name="solver_rel152" localSheetId="1" hidden="1">5</definedName>
    <definedName name="solver_rel153" localSheetId="1" hidden="1">5</definedName>
    <definedName name="solver_rel154" localSheetId="1" hidden="1">5</definedName>
    <definedName name="solver_rel155" localSheetId="1" hidden="1">5</definedName>
    <definedName name="solver_rel156" localSheetId="1" hidden="1">5</definedName>
    <definedName name="solver_rel157" localSheetId="1" hidden="1">5</definedName>
    <definedName name="solver_rel158" localSheetId="1" hidden="1">5</definedName>
    <definedName name="solver_rel159" localSheetId="1" hidden="1">5</definedName>
    <definedName name="solver_rel16" localSheetId="1" hidden="1">5</definedName>
    <definedName name="solver_rel160" localSheetId="1" hidden="1">5</definedName>
    <definedName name="solver_rel161" localSheetId="1" hidden="1">5</definedName>
    <definedName name="solver_rel162" localSheetId="1" hidden="1">5</definedName>
    <definedName name="solver_rel163" localSheetId="1" hidden="1">5</definedName>
    <definedName name="solver_rel164" localSheetId="1" hidden="1">5</definedName>
    <definedName name="solver_rel165" localSheetId="1" hidden="1">5</definedName>
    <definedName name="solver_rel166" localSheetId="1" hidden="1">5</definedName>
    <definedName name="solver_rel167" localSheetId="1" hidden="1">5</definedName>
    <definedName name="solver_rel168" localSheetId="1" hidden="1">5</definedName>
    <definedName name="solver_rel169" localSheetId="1" hidden="1">5</definedName>
    <definedName name="solver_rel17" localSheetId="1" hidden="1">5</definedName>
    <definedName name="solver_rel170" localSheetId="1" hidden="1">5</definedName>
    <definedName name="solver_rel171" localSheetId="1" hidden="1">5</definedName>
    <definedName name="solver_rel172" localSheetId="1" hidden="1">5</definedName>
    <definedName name="solver_rel173" localSheetId="1" hidden="1">5</definedName>
    <definedName name="solver_rel174" localSheetId="1" hidden="1">5</definedName>
    <definedName name="solver_rel175" localSheetId="1" hidden="1">5</definedName>
    <definedName name="solver_rel176" localSheetId="1" hidden="1">5</definedName>
    <definedName name="solver_rel177" localSheetId="1" hidden="1">5</definedName>
    <definedName name="solver_rel178" localSheetId="1" hidden="1">5</definedName>
    <definedName name="solver_rel179" localSheetId="1" hidden="1">5</definedName>
    <definedName name="solver_rel18" localSheetId="1" hidden="1">5</definedName>
    <definedName name="solver_rel180" localSheetId="1" hidden="1">5</definedName>
    <definedName name="solver_rel181" localSheetId="1" hidden="1">5</definedName>
    <definedName name="solver_rel182" localSheetId="1" hidden="1">5</definedName>
    <definedName name="solver_rel183" localSheetId="1" hidden="1">5</definedName>
    <definedName name="solver_rel184" localSheetId="1" hidden="1">5</definedName>
    <definedName name="solver_rel185" localSheetId="1" hidden="1">5</definedName>
    <definedName name="solver_rel186" localSheetId="1" hidden="1">5</definedName>
    <definedName name="solver_rel187" localSheetId="1" hidden="1">5</definedName>
    <definedName name="solver_rel188" localSheetId="1" hidden="1">5</definedName>
    <definedName name="solver_rel189" localSheetId="1" hidden="1">5</definedName>
    <definedName name="solver_rel19" localSheetId="1" hidden="1">5</definedName>
    <definedName name="solver_rel190" localSheetId="1" hidden="1">5</definedName>
    <definedName name="solver_rel191" localSheetId="1" hidden="1">5</definedName>
    <definedName name="solver_rel192" localSheetId="1" hidden="1">5</definedName>
    <definedName name="solver_rel193" localSheetId="1" hidden="1">5</definedName>
    <definedName name="solver_rel194" localSheetId="1" hidden="1">5</definedName>
    <definedName name="solver_rel195" localSheetId="1" hidden="1">5</definedName>
    <definedName name="solver_rel196" localSheetId="1" hidden="1">5</definedName>
    <definedName name="solver_rel197" localSheetId="1" hidden="1">5</definedName>
    <definedName name="solver_rel198" localSheetId="1" hidden="1">5</definedName>
    <definedName name="solver_rel199" localSheetId="1" hidden="1">5</definedName>
    <definedName name="solver_rel2" localSheetId="1" hidden="1">3</definedName>
    <definedName name="solver_rel20" localSheetId="1" hidden="1">5</definedName>
    <definedName name="solver_rel200" localSheetId="1" hidden="1">5</definedName>
    <definedName name="solver_rel201" localSheetId="1" hidden="1">5</definedName>
    <definedName name="solver_rel202" localSheetId="1" hidden="1">5</definedName>
    <definedName name="solver_rel203" localSheetId="1" hidden="1">5</definedName>
    <definedName name="solver_rel21" localSheetId="1" hidden="1">5</definedName>
    <definedName name="solver_rel22" localSheetId="1" hidden="1">5</definedName>
    <definedName name="solver_rel23" localSheetId="1" hidden="1">5</definedName>
    <definedName name="solver_rel24" localSheetId="1" hidden="1">5</definedName>
    <definedName name="solver_rel25" localSheetId="1" hidden="1">5</definedName>
    <definedName name="solver_rel26" localSheetId="1" hidden="1">5</definedName>
    <definedName name="solver_rel27" localSheetId="1" hidden="1">5</definedName>
    <definedName name="solver_rel28" localSheetId="1" hidden="1">5</definedName>
    <definedName name="solver_rel29" localSheetId="1" hidden="1">5</definedName>
    <definedName name="solver_rel3" localSheetId="1" hidden="1">1</definedName>
    <definedName name="solver_rel30" localSheetId="1" hidden="1">5</definedName>
    <definedName name="solver_rel31" localSheetId="1" hidden="1">5</definedName>
    <definedName name="solver_rel32" localSheetId="1" hidden="1">5</definedName>
    <definedName name="solver_rel33" localSheetId="1" hidden="1">5</definedName>
    <definedName name="solver_rel34" localSheetId="1" hidden="1">5</definedName>
    <definedName name="solver_rel35" localSheetId="1" hidden="1">5</definedName>
    <definedName name="solver_rel36" localSheetId="1" hidden="1">5</definedName>
    <definedName name="solver_rel37" localSheetId="1" hidden="1">5</definedName>
    <definedName name="solver_rel38" localSheetId="1" hidden="1">5</definedName>
    <definedName name="solver_rel39" localSheetId="1" hidden="1">5</definedName>
    <definedName name="solver_rel4" localSheetId="1" hidden="1">5</definedName>
    <definedName name="solver_rel40" localSheetId="1" hidden="1">5</definedName>
    <definedName name="solver_rel41" localSheetId="1" hidden="1">5</definedName>
    <definedName name="solver_rel42" localSheetId="1" hidden="1">5</definedName>
    <definedName name="solver_rel43" localSheetId="1" hidden="1">5</definedName>
    <definedName name="solver_rel44" localSheetId="1" hidden="1">5</definedName>
    <definedName name="solver_rel45" localSheetId="1" hidden="1">5</definedName>
    <definedName name="solver_rel46" localSheetId="1" hidden="1">5</definedName>
    <definedName name="solver_rel47" localSheetId="1" hidden="1">5</definedName>
    <definedName name="solver_rel48" localSheetId="1" hidden="1">5</definedName>
    <definedName name="solver_rel49" localSheetId="1" hidden="1">5</definedName>
    <definedName name="solver_rel5" localSheetId="1" hidden="1">5</definedName>
    <definedName name="solver_rel50" localSheetId="1" hidden="1">5</definedName>
    <definedName name="solver_rel51" localSheetId="1" hidden="1">5</definedName>
    <definedName name="solver_rel52" localSheetId="1" hidden="1">5</definedName>
    <definedName name="solver_rel53" localSheetId="1" hidden="1">5</definedName>
    <definedName name="solver_rel54" localSheetId="1" hidden="1">5</definedName>
    <definedName name="solver_rel55" localSheetId="1" hidden="1">5</definedName>
    <definedName name="solver_rel56" localSheetId="1" hidden="1">5</definedName>
    <definedName name="solver_rel57" localSheetId="1" hidden="1">5</definedName>
    <definedName name="solver_rel58" localSheetId="1" hidden="1">5</definedName>
    <definedName name="solver_rel59" localSheetId="1" hidden="1">5</definedName>
    <definedName name="solver_rel6" localSheetId="1" hidden="1">5</definedName>
    <definedName name="solver_rel60" localSheetId="1" hidden="1">5</definedName>
    <definedName name="solver_rel61" localSheetId="1" hidden="1">5</definedName>
    <definedName name="solver_rel62" localSheetId="1" hidden="1">5</definedName>
    <definedName name="solver_rel63" localSheetId="1" hidden="1">5</definedName>
    <definedName name="solver_rel64" localSheetId="1" hidden="1">5</definedName>
    <definedName name="solver_rel65" localSheetId="1" hidden="1">5</definedName>
    <definedName name="solver_rel66" localSheetId="1" hidden="1">5</definedName>
    <definedName name="solver_rel67" localSheetId="1" hidden="1">5</definedName>
    <definedName name="solver_rel68" localSheetId="1" hidden="1">5</definedName>
    <definedName name="solver_rel69" localSheetId="1" hidden="1">5</definedName>
    <definedName name="solver_rel7" localSheetId="1" hidden="1">5</definedName>
    <definedName name="solver_rel70" localSheetId="1" hidden="1">5</definedName>
    <definedName name="solver_rel71" localSheetId="1" hidden="1">5</definedName>
    <definedName name="solver_rel72" localSheetId="1" hidden="1">5</definedName>
    <definedName name="solver_rel73" localSheetId="1" hidden="1">5</definedName>
    <definedName name="solver_rel74" localSheetId="1" hidden="1">5</definedName>
    <definedName name="solver_rel75" localSheetId="1" hidden="1">5</definedName>
    <definedName name="solver_rel76" localSheetId="1" hidden="1">5</definedName>
    <definedName name="solver_rel77" localSheetId="1" hidden="1">5</definedName>
    <definedName name="solver_rel78" localSheetId="1" hidden="1">5</definedName>
    <definedName name="solver_rel79" localSheetId="1" hidden="1">5</definedName>
    <definedName name="solver_rel8" localSheetId="1" hidden="1">5</definedName>
    <definedName name="solver_rel80" localSheetId="1" hidden="1">5</definedName>
    <definedName name="solver_rel81" localSheetId="1" hidden="1">5</definedName>
    <definedName name="solver_rel82" localSheetId="1" hidden="1">5</definedName>
    <definedName name="solver_rel83" localSheetId="1" hidden="1">5</definedName>
    <definedName name="solver_rel84" localSheetId="1" hidden="1">5</definedName>
    <definedName name="solver_rel85" localSheetId="1" hidden="1">5</definedName>
    <definedName name="solver_rel86" localSheetId="1" hidden="1">5</definedName>
    <definedName name="solver_rel87" localSheetId="1" hidden="1">5</definedName>
    <definedName name="solver_rel88" localSheetId="1" hidden="1">5</definedName>
    <definedName name="solver_rel89" localSheetId="1" hidden="1">5</definedName>
    <definedName name="solver_rel9" localSheetId="1" hidden="1">5</definedName>
    <definedName name="solver_rel90" localSheetId="1" hidden="1">5</definedName>
    <definedName name="solver_rel91" localSheetId="1" hidden="1">5</definedName>
    <definedName name="solver_rel92" localSheetId="1" hidden="1">5</definedName>
    <definedName name="solver_rel93" localSheetId="1" hidden="1">5</definedName>
    <definedName name="solver_rel94" localSheetId="1" hidden="1">5</definedName>
    <definedName name="solver_rel95" localSheetId="1" hidden="1">5</definedName>
    <definedName name="solver_rel96" localSheetId="1" hidden="1">5</definedName>
    <definedName name="solver_rel97" localSheetId="1" hidden="1">5</definedName>
    <definedName name="solver_rel98" localSheetId="1" hidden="1">5</definedName>
    <definedName name="solver_rel99" localSheetId="1" hidden="1">5</definedName>
    <definedName name="solver_rhs1" localSheetId="1" hidden="1">MODEL_07_SetCovering_50x200.lp!$GX$6:$GX$55</definedName>
    <definedName name="solver_rhs10" localSheetId="1" hidden="1">"binario"</definedName>
    <definedName name="solver_rhs100" localSheetId="1" hidden="1">"binario"</definedName>
    <definedName name="solver_rhs101" localSheetId="1" hidden="1">"binario"</definedName>
    <definedName name="solver_rhs102" localSheetId="1" hidden="1">"binario"</definedName>
    <definedName name="solver_rhs103" localSheetId="1" hidden="1">"binario"</definedName>
    <definedName name="solver_rhs104" localSheetId="1" hidden="1">"binario"</definedName>
    <definedName name="solver_rhs105" localSheetId="1" hidden="1">"binario"</definedName>
    <definedName name="solver_rhs106" localSheetId="1" hidden="1">"binario"</definedName>
    <definedName name="solver_rhs107" localSheetId="1" hidden="1">"binario"</definedName>
    <definedName name="solver_rhs108" localSheetId="1" hidden="1">"binario"</definedName>
    <definedName name="solver_rhs109" localSheetId="1" hidden="1">"binario"</definedName>
    <definedName name="solver_rhs11" localSheetId="1" hidden="1">"binario"</definedName>
    <definedName name="solver_rhs110" localSheetId="1" hidden="1">"binario"</definedName>
    <definedName name="solver_rhs111" localSheetId="1" hidden="1">"binario"</definedName>
    <definedName name="solver_rhs112" localSheetId="1" hidden="1">"binario"</definedName>
    <definedName name="solver_rhs113" localSheetId="1" hidden="1">"binario"</definedName>
    <definedName name="solver_rhs114" localSheetId="1" hidden="1">"binario"</definedName>
    <definedName name="solver_rhs115" localSheetId="1" hidden="1">"binario"</definedName>
    <definedName name="solver_rhs116" localSheetId="1" hidden="1">"binario"</definedName>
    <definedName name="solver_rhs117" localSheetId="1" hidden="1">"binario"</definedName>
    <definedName name="solver_rhs118" localSheetId="1" hidden="1">"binario"</definedName>
    <definedName name="solver_rhs119" localSheetId="1" hidden="1">"binario"</definedName>
    <definedName name="solver_rhs12" localSheetId="1" hidden="1">"binario"</definedName>
    <definedName name="solver_rhs120" localSheetId="1" hidden="1">"binario"</definedName>
    <definedName name="solver_rhs121" localSheetId="1" hidden="1">"binario"</definedName>
    <definedName name="solver_rhs122" localSheetId="1" hidden="1">"binario"</definedName>
    <definedName name="solver_rhs123" localSheetId="1" hidden="1">"binario"</definedName>
    <definedName name="solver_rhs124" localSheetId="1" hidden="1">"binario"</definedName>
    <definedName name="solver_rhs125" localSheetId="1" hidden="1">"binario"</definedName>
    <definedName name="solver_rhs126" localSheetId="1" hidden="1">"binario"</definedName>
    <definedName name="solver_rhs127" localSheetId="1" hidden="1">"binario"</definedName>
    <definedName name="solver_rhs128" localSheetId="1" hidden="1">"binario"</definedName>
    <definedName name="solver_rhs129" localSheetId="1" hidden="1">"binario"</definedName>
    <definedName name="solver_rhs13" localSheetId="1" hidden="1">"binario"</definedName>
    <definedName name="solver_rhs130" localSheetId="1" hidden="1">"binario"</definedName>
    <definedName name="solver_rhs131" localSheetId="1" hidden="1">"binario"</definedName>
    <definedName name="solver_rhs132" localSheetId="1" hidden="1">"binario"</definedName>
    <definedName name="solver_rhs133" localSheetId="1" hidden="1">"binario"</definedName>
    <definedName name="solver_rhs134" localSheetId="1" hidden="1">"binario"</definedName>
    <definedName name="solver_rhs135" localSheetId="1" hidden="1">"binario"</definedName>
    <definedName name="solver_rhs136" localSheetId="1" hidden="1">"binario"</definedName>
    <definedName name="solver_rhs137" localSheetId="1" hidden="1">"binario"</definedName>
    <definedName name="solver_rhs138" localSheetId="1" hidden="1">"binario"</definedName>
    <definedName name="solver_rhs139" localSheetId="1" hidden="1">"binario"</definedName>
    <definedName name="solver_rhs14" localSheetId="1" hidden="1">"binario"</definedName>
    <definedName name="solver_rhs140" localSheetId="1" hidden="1">"binario"</definedName>
    <definedName name="solver_rhs141" localSheetId="1" hidden="1">"binario"</definedName>
    <definedName name="solver_rhs142" localSheetId="1" hidden="1">"binario"</definedName>
    <definedName name="solver_rhs143" localSheetId="1" hidden="1">"binario"</definedName>
    <definedName name="solver_rhs144" localSheetId="1" hidden="1">"binario"</definedName>
    <definedName name="solver_rhs145" localSheetId="1" hidden="1">"binario"</definedName>
    <definedName name="solver_rhs146" localSheetId="1" hidden="1">"binario"</definedName>
    <definedName name="solver_rhs147" localSheetId="1" hidden="1">"binario"</definedName>
    <definedName name="solver_rhs148" localSheetId="1" hidden="1">"binario"</definedName>
    <definedName name="solver_rhs149" localSheetId="1" hidden="1">"binario"</definedName>
    <definedName name="solver_rhs15" localSheetId="1" hidden="1">"binario"</definedName>
    <definedName name="solver_rhs150" localSheetId="1" hidden="1">"binario"</definedName>
    <definedName name="solver_rhs151" localSheetId="1" hidden="1">"binario"</definedName>
    <definedName name="solver_rhs152" localSheetId="1" hidden="1">"binario"</definedName>
    <definedName name="solver_rhs153" localSheetId="1" hidden="1">"binario"</definedName>
    <definedName name="solver_rhs154" localSheetId="1" hidden="1">"binario"</definedName>
    <definedName name="solver_rhs155" localSheetId="1" hidden="1">"binario"</definedName>
    <definedName name="solver_rhs156" localSheetId="1" hidden="1">"binario"</definedName>
    <definedName name="solver_rhs157" localSheetId="1" hidden="1">"binario"</definedName>
    <definedName name="solver_rhs158" localSheetId="1" hidden="1">"binario"</definedName>
    <definedName name="solver_rhs159" localSheetId="1" hidden="1">"binario"</definedName>
    <definedName name="solver_rhs16" localSheetId="1" hidden="1">"binario"</definedName>
    <definedName name="solver_rhs160" localSheetId="1" hidden="1">"binario"</definedName>
    <definedName name="solver_rhs161" localSheetId="1" hidden="1">"binario"</definedName>
    <definedName name="solver_rhs162" localSheetId="1" hidden="1">"binario"</definedName>
    <definedName name="solver_rhs163" localSheetId="1" hidden="1">"binario"</definedName>
    <definedName name="solver_rhs164" localSheetId="1" hidden="1">"binario"</definedName>
    <definedName name="solver_rhs165" localSheetId="1" hidden="1">"binario"</definedName>
    <definedName name="solver_rhs166" localSheetId="1" hidden="1">"binario"</definedName>
    <definedName name="solver_rhs167" localSheetId="1" hidden="1">"binario"</definedName>
    <definedName name="solver_rhs168" localSheetId="1" hidden="1">"binario"</definedName>
    <definedName name="solver_rhs169" localSheetId="1" hidden="1">"binario"</definedName>
    <definedName name="solver_rhs17" localSheetId="1" hidden="1">"binario"</definedName>
    <definedName name="solver_rhs170" localSheetId="1" hidden="1">"binario"</definedName>
    <definedName name="solver_rhs171" localSheetId="1" hidden="1">"binario"</definedName>
    <definedName name="solver_rhs172" localSheetId="1" hidden="1">"binario"</definedName>
    <definedName name="solver_rhs173" localSheetId="1" hidden="1">"binario"</definedName>
    <definedName name="solver_rhs174" localSheetId="1" hidden="1">"binario"</definedName>
    <definedName name="solver_rhs175" localSheetId="1" hidden="1">"binario"</definedName>
    <definedName name="solver_rhs176" localSheetId="1" hidden="1">"binario"</definedName>
    <definedName name="solver_rhs177" localSheetId="1" hidden="1">"binario"</definedName>
    <definedName name="solver_rhs178" localSheetId="1" hidden="1">"binario"</definedName>
    <definedName name="solver_rhs179" localSheetId="1" hidden="1">"binario"</definedName>
    <definedName name="solver_rhs18" localSheetId="1" hidden="1">"binario"</definedName>
    <definedName name="solver_rhs180" localSheetId="1" hidden="1">"binario"</definedName>
    <definedName name="solver_rhs181" localSheetId="1" hidden="1">"binario"</definedName>
    <definedName name="solver_rhs182" localSheetId="1" hidden="1">"binario"</definedName>
    <definedName name="solver_rhs183" localSheetId="1" hidden="1">"binario"</definedName>
    <definedName name="solver_rhs184" localSheetId="1" hidden="1">"binario"</definedName>
    <definedName name="solver_rhs185" localSheetId="1" hidden="1">"binario"</definedName>
    <definedName name="solver_rhs186" localSheetId="1" hidden="1">"binario"</definedName>
    <definedName name="solver_rhs187" localSheetId="1" hidden="1">"binario"</definedName>
    <definedName name="solver_rhs188" localSheetId="1" hidden="1">"binario"</definedName>
    <definedName name="solver_rhs189" localSheetId="1" hidden="1">"binario"</definedName>
    <definedName name="solver_rhs19" localSheetId="1" hidden="1">"binario"</definedName>
    <definedName name="solver_rhs190" localSheetId="1" hidden="1">"binario"</definedName>
    <definedName name="solver_rhs191" localSheetId="1" hidden="1">"binario"</definedName>
    <definedName name="solver_rhs192" localSheetId="1" hidden="1">"binario"</definedName>
    <definedName name="solver_rhs193" localSheetId="1" hidden="1">"binario"</definedName>
    <definedName name="solver_rhs194" localSheetId="1" hidden="1">"binario"</definedName>
    <definedName name="solver_rhs195" localSheetId="1" hidden="1">"binario"</definedName>
    <definedName name="solver_rhs196" localSheetId="1" hidden="1">"binario"</definedName>
    <definedName name="solver_rhs197" localSheetId="1" hidden="1">"binario"</definedName>
    <definedName name="solver_rhs198" localSheetId="1" hidden="1">"binario"</definedName>
    <definedName name="solver_rhs199" localSheetId="1" hidden="1">"binario"</definedName>
    <definedName name="solver_rhs2" localSheetId="1" hidden="1">MODEL_07_SetCovering_50x200.lp!$C$57:$GT$57</definedName>
    <definedName name="solver_rhs20" localSheetId="1" hidden="1">"binario"</definedName>
    <definedName name="solver_rhs200" localSheetId="1" hidden="1">"binario"</definedName>
    <definedName name="solver_rhs201" localSheetId="1" hidden="1">"binario"</definedName>
    <definedName name="solver_rhs202" localSheetId="1" hidden="1">"binario"</definedName>
    <definedName name="solver_rhs203" localSheetId="1" hidden="1">"binario"</definedName>
    <definedName name="solver_rhs21" localSheetId="1" hidden="1">"binario"</definedName>
    <definedName name="solver_rhs22" localSheetId="1" hidden="1">"binario"</definedName>
    <definedName name="solver_rhs23" localSheetId="1" hidden="1">"binario"</definedName>
    <definedName name="solver_rhs24" localSheetId="1" hidden="1">"binario"</definedName>
    <definedName name="solver_rhs25" localSheetId="1" hidden="1">"binario"</definedName>
    <definedName name="solver_rhs26" localSheetId="1" hidden="1">"binario"</definedName>
    <definedName name="solver_rhs27" localSheetId="1" hidden="1">"binario"</definedName>
    <definedName name="solver_rhs28" localSheetId="1" hidden="1">"binario"</definedName>
    <definedName name="solver_rhs29" localSheetId="1" hidden="1">"binario"</definedName>
    <definedName name="solver_rhs3" localSheetId="1" hidden="1">MODEL_07_SetCovering_50x200.lp!$C$58:$GT$58</definedName>
    <definedName name="solver_rhs30" localSheetId="1" hidden="1">"binario"</definedName>
    <definedName name="solver_rhs31" localSheetId="1" hidden="1">"binario"</definedName>
    <definedName name="solver_rhs32" localSheetId="1" hidden="1">"binario"</definedName>
    <definedName name="solver_rhs33" localSheetId="1" hidden="1">"binario"</definedName>
    <definedName name="solver_rhs34" localSheetId="1" hidden="1">"binario"</definedName>
    <definedName name="solver_rhs35" localSheetId="1" hidden="1">"binario"</definedName>
    <definedName name="solver_rhs36" localSheetId="1" hidden="1">"binario"</definedName>
    <definedName name="solver_rhs37" localSheetId="1" hidden="1">"binario"</definedName>
    <definedName name="solver_rhs38" localSheetId="1" hidden="1">"binario"</definedName>
    <definedName name="solver_rhs39" localSheetId="1" hidden="1">"binario"</definedName>
    <definedName name="solver_rhs4" localSheetId="1" hidden="1">"binario"</definedName>
    <definedName name="solver_rhs40" localSheetId="1" hidden="1">"binario"</definedName>
    <definedName name="solver_rhs41" localSheetId="1" hidden="1">"binario"</definedName>
    <definedName name="solver_rhs42" localSheetId="1" hidden="1">"binario"</definedName>
    <definedName name="solver_rhs43" localSheetId="1" hidden="1">"binario"</definedName>
    <definedName name="solver_rhs44" localSheetId="1" hidden="1">"binario"</definedName>
    <definedName name="solver_rhs45" localSheetId="1" hidden="1">"binario"</definedName>
    <definedName name="solver_rhs46" localSheetId="1" hidden="1">"binario"</definedName>
    <definedName name="solver_rhs47" localSheetId="1" hidden="1">"binario"</definedName>
    <definedName name="solver_rhs48" localSheetId="1" hidden="1">"binario"</definedName>
    <definedName name="solver_rhs49" localSheetId="1" hidden="1">"binario"</definedName>
    <definedName name="solver_rhs5" localSheetId="1" hidden="1">"binario"</definedName>
    <definedName name="solver_rhs50" localSheetId="1" hidden="1">"binario"</definedName>
    <definedName name="solver_rhs51" localSheetId="1" hidden="1">"binario"</definedName>
    <definedName name="solver_rhs52" localSheetId="1" hidden="1">"binario"</definedName>
    <definedName name="solver_rhs53" localSheetId="1" hidden="1">"binario"</definedName>
    <definedName name="solver_rhs54" localSheetId="1" hidden="1">"binario"</definedName>
    <definedName name="solver_rhs55" localSheetId="1" hidden="1">"binario"</definedName>
    <definedName name="solver_rhs56" localSheetId="1" hidden="1">"binario"</definedName>
    <definedName name="solver_rhs57" localSheetId="1" hidden="1">"binario"</definedName>
    <definedName name="solver_rhs58" localSheetId="1" hidden="1">"binario"</definedName>
    <definedName name="solver_rhs59" localSheetId="1" hidden="1">"binario"</definedName>
    <definedName name="solver_rhs6" localSheetId="1" hidden="1">"binario"</definedName>
    <definedName name="solver_rhs60" localSheetId="1" hidden="1">"binario"</definedName>
    <definedName name="solver_rhs61" localSheetId="1" hidden="1">"binario"</definedName>
    <definedName name="solver_rhs62" localSheetId="1" hidden="1">"binario"</definedName>
    <definedName name="solver_rhs63" localSheetId="1" hidden="1">"binario"</definedName>
    <definedName name="solver_rhs64" localSheetId="1" hidden="1">"binario"</definedName>
    <definedName name="solver_rhs65" localSheetId="1" hidden="1">"binario"</definedName>
    <definedName name="solver_rhs66" localSheetId="1" hidden="1">"binario"</definedName>
    <definedName name="solver_rhs67" localSheetId="1" hidden="1">"binario"</definedName>
    <definedName name="solver_rhs68" localSheetId="1" hidden="1">"binario"</definedName>
    <definedName name="solver_rhs69" localSheetId="1" hidden="1">"binario"</definedName>
    <definedName name="solver_rhs7" localSheetId="1" hidden="1">"binario"</definedName>
    <definedName name="solver_rhs70" localSheetId="1" hidden="1">"binario"</definedName>
    <definedName name="solver_rhs71" localSheetId="1" hidden="1">"binario"</definedName>
    <definedName name="solver_rhs72" localSheetId="1" hidden="1">"binario"</definedName>
    <definedName name="solver_rhs73" localSheetId="1" hidden="1">"binario"</definedName>
    <definedName name="solver_rhs74" localSheetId="1" hidden="1">"binario"</definedName>
    <definedName name="solver_rhs75" localSheetId="1" hidden="1">"binario"</definedName>
    <definedName name="solver_rhs76" localSheetId="1" hidden="1">"binario"</definedName>
    <definedName name="solver_rhs77" localSheetId="1" hidden="1">"binario"</definedName>
    <definedName name="solver_rhs78" localSheetId="1" hidden="1">"binario"</definedName>
    <definedName name="solver_rhs79" localSheetId="1" hidden="1">"binario"</definedName>
    <definedName name="solver_rhs8" localSheetId="1" hidden="1">"binario"</definedName>
    <definedName name="solver_rhs80" localSheetId="1" hidden="1">"binario"</definedName>
    <definedName name="solver_rhs81" localSheetId="1" hidden="1">"binario"</definedName>
    <definedName name="solver_rhs82" localSheetId="1" hidden="1">"binario"</definedName>
    <definedName name="solver_rhs83" localSheetId="1" hidden="1">"binario"</definedName>
    <definedName name="solver_rhs84" localSheetId="1" hidden="1">"binario"</definedName>
    <definedName name="solver_rhs85" localSheetId="1" hidden="1">"binario"</definedName>
    <definedName name="solver_rhs86" localSheetId="1" hidden="1">"binario"</definedName>
    <definedName name="solver_rhs87" localSheetId="1" hidden="1">"binario"</definedName>
    <definedName name="solver_rhs88" localSheetId="1" hidden="1">"binario"</definedName>
    <definedName name="solver_rhs89" localSheetId="1" hidden="1">"binario"</definedName>
    <definedName name="solver_rhs9" localSheetId="1" hidden="1">"binario"</definedName>
    <definedName name="solver_rhs90" localSheetId="1" hidden="1">"binario"</definedName>
    <definedName name="solver_rhs91" localSheetId="1" hidden="1">"binario"</definedName>
    <definedName name="solver_rhs92" localSheetId="1" hidden="1">"binario"</definedName>
    <definedName name="solver_rhs93" localSheetId="1" hidden="1">"binario"</definedName>
    <definedName name="solver_rhs94" localSheetId="1" hidden="1">"binario"</definedName>
    <definedName name="solver_rhs95" localSheetId="1" hidden="1">"binario"</definedName>
    <definedName name="solver_rhs96" localSheetId="1" hidden="1">"binario"</definedName>
    <definedName name="solver_rhs97" localSheetId="1" hidden="1">"binario"</definedName>
    <definedName name="solver_rhs98" localSheetId="1" hidden="1">"binario"</definedName>
    <definedName name="solver_rhs99" localSheetId="1" hidden="1">"binario"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0.05</definedName>
    <definedName name="solver_typ" localSheetId="1" hidden="1">2</definedName>
    <definedName name="solver_val" localSheetId="1" hidden="1">0</definedName>
    <definedName name="solver_ver" localSheetId="1" hidden="1">3</definedName>
    <definedName name="Upper_bounds" localSheetId="1" hidden="1">MODEL_07_SetCovering_50x200.lp!$C$58:$GT$58</definedName>
    <definedName name="Variable_x_1" localSheetId="1" hidden="1">MODEL_07_SetCovering_50x200.lp!$C$2</definedName>
    <definedName name="Variable_x_1_Type" localSheetId="1" hidden="1">MODEL_07_SetCovering_50x200.lp!$C$59</definedName>
    <definedName name="Variable_x_10" localSheetId="1" hidden="1">MODEL_07_SetCovering_50x200.lp!$L$2</definedName>
    <definedName name="Variable_x_10_Type" localSheetId="1" hidden="1">MODEL_07_SetCovering_50x200.lp!$L$59</definedName>
    <definedName name="Variable_x_100" localSheetId="1" hidden="1">MODEL_07_SetCovering_50x200.lp!$CX$2</definedName>
    <definedName name="Variable_x_100_Type" localSheetId="1" hidden="1">MODEL_07_SetCovering_50x200.lp!$CX$59</definedName>
    <definedName name="Variable_x_101" localSheetId="1" hidden="1">MODEL_07_SetCovering_50x200.lp!$CY$2</definedName>
    <definedName name="Variable_x_101_Type" localSheetId="1" hidden="1">MODEL_07_SetCovering_50x200.lp!$CY$59</definedName>
    <definedName name="Variable_x_102" localSheetId="1" hidden="1">MODEL_07_SetCovering_50x200.lp!$CZ$2</definedName>
    <definedName name="Variable_x_102_Type" localSheetId="1" hidden="1">MODEL_07_SetCovering_50x200.lp!$CZ$59</definedName>
    <definedName name="Variable_x_103" localSheetId="1" hidden="1">MODEL_07_SetCovering_50x200.lp!$DA$2</definedName>
    <definedName name="Variable_x_103_Type" localSheetId="1" hidden="1">MODEL_07_SetCovering_50x200.lp!$DA$59</definedName>
    <definedName name="Variable_x_104" localSheetId="1" hidden="1">MODEL_07_SetCovering_50x200.lp!$DB$2</definedName>
    <definedName name="Variable_x_104_Type" localSheetId="1" hidden="1">MODEL_07_SetCovering_50x200.lp!$DB$59</definedName>
    <definedName name="Variable_x_105" localSheetId="1" hidden="1">MODEL_07_SetCovering_50x200.lp!$DC$2</definedName>
    <definedName name="Variable_x_105_Type" localSheetId="1" hidden="1">MODEL_07_SetCovering_50x200.lp!$DC$59</definedName>
    <definedName name="Variable_x_106" localSheetId="1" hidden="1">MODEL_07_SetCovering_50x200.lp!$DD$2</definedName>
    <definedName name="Variable_x_106_Type" localSheetId="1" hidden="1">MODEL_07_SetCovering_50x200.lp!$DD$59</definedName>
    <definedName name="Variable_x_107" localSheetId="1" hidden="1">MODEL_07_SetCovering_50x200.lp!$DE$2</definedName>
    <definedName name="Variable_x_107_Type" localSheetId="1" hidden="1">MODEL_07_SetCovering_50x200.lp!$DE$59</definedName>
    <definedName name="Variable_x_108" localSheetId="1" hidden="1">MODEL_07_SetCovering_50x200.lp!$DF$2</definedName>
    <definedName name="Variable_x_108_Type" localSheetId="1" hidden="1">MODEL_07_SetCovering_50x200.lp!$DF$59</definedName>
    <definedName name="Variable_x_109" localSheetId="1" hidden="1">MODEL_07_SetCovering_50x200.lp!$DG$2</definedName>
    <definedName name="Variable_x_109_Type" localSheetId="1" hidden="1">MODEL_07_SetCovering_50x200.lp!$DG$59</definedName>
    <definedName name="Variable_x_11" localSheetId="1" hidden="1">MODEL_07_SetCovering_50x200.lp!$M$2</definedName>
    <definedName name="Variable_x_11_Type" localSheetId="1" hidden="1">MODEL_07_SetCovering_50x200.lp!$M$59</definedName>
    <definedName name="Variable_x_110" localSheetId="1" hidden="1">MODEL_07_SetCovering_50x200.lp!$DH$2</definedName>
    <definedName name="Variable_x_110_Type" localSheetId="1" hidden="1">MODEL_07_SetCovering_50x200.lp!$DH$59</definedName>
    <definedName name="Variable_x_111" localSheetId="1" hidden="1">MODEL_07_SetCovering_50x200.lp!$DI$2</definedName>
    <definedName name="Variable_x_111_Type" localSheetId="1" hidden="1">MODEL_07_SetCovering_50x200.lp!$DI$59</definedName>
    <definedName name="Variable_x_112" localSheetId="1" hidden="1">MODEL_07_SetCovering_50x200.lp!$DJ$2</definedName>
    <definedName name="Variable_x_112_Type" localSheetId="1" hidden="1">MODEL_07_SetCovering_50x200.lp!$DJ$59</definedName>
    <definedName name="Variable_x_113" localSheetId="1" hidden="1">MODEL_07_SetCovering_50x200.lp!$DK$2</definedName>
    <definedName name="Variable_x_113_Type" localSheetId="1" hidden="1">MODEL_07_SetCovering_50x200.lp!$DK$59</definedName>
    <definedName name="Variable_x_114" localSheetId="1" hidden="1">MODEL_07_SetCovering_50x200.lp!$DL$2</definedName>
    <definedName name="Variable_x_114_Type" localSheetId="1" hidden="1">MODEL_07_SetCovering_50x200.lp!$DL$59</definedName>
    <definedName name="Variable_x_115" localSheetId="1" hidden="1">MODEL_07_SetCovering_50x200.lp!$DM$2</definedName>
    <definedName name="Variable_x_115_Type" localSheetId="1" hidden="1">MODEL_07_SetCovering_50x200.lp!$DM$59</definedName>
    <definedName name="Variable_x_116" localSheetId="1" hidden="1">MODEL_07_SetCovering_50x200.lp!$DN$2</definedName>
    <definedName name="Variable_x_116_Type" localSheetId="1" hidden="1">MODEL_07_SetCovering_50x200.lp!$DN$59</definedName>
    <definedName name="Variable_x_117" localSheetId="1" hidden="1">MODEL_07_SetCovering_50x200.lp!$DO$2</definedName>
    <definedName name="Variable_x_117_Type" localSheetId="1" hidden="1">MODEL_07_SetCovering_50x200.lp!$DO$59</definedName>
    <definedName name="Variable_x_118" localSheetId="1" hidden="1">MODEL_07_SetCovering_50x200.lp!$DP$2</definedName>
    <definedName name="Variable_x_118_Type" localSheetId="1" hidden="1">MODEL_07_SetCovering_50x200.lp!$DP$59</definedName>
    <definedName name="Variable_x_119" localSheetId="1" hidden="1">MODEL_07_SetCovering_50x200.lp!$DQ$2</definedName>
    <definedName name="Variable_x_119_Type" localSheetId="1" hidden="1">MODEL_07_SetCovering_50x200.lp!$DQ$59</definedName>
    <definedName name="Variable_x_12" localSheetId="1" hidden="1">MODEL_07_SetCovering_50x200.lp!$N$2</definedName>
    <definedName name="Variable_x_12_Type" localSheetId="1" hidden="1">MODEL_07_SetCovering_50x200.lp!$N$59</definedName>
    <definedName name="Variable_x_120" localSheetId="1" hidden="1">MODEL_07_SetCovering_50x200.lp!$DR$2</definedName>
    <definedName name="Variable_x_120_Type" localSheetId="1" hidden="1">MODEL_07_SetCovering_50x200.lp!$DR$59</definedName>
    <definedName name="Variable_x_121" localSheetId="1" hidden="1">MODEL_07_SetCovering_50x200.lp!$DS$2</definedName>
    <definedName name="Variable_x_121_Type" localSheetId="1" hidden="1">MODEL_07_SetCovering_50x200.lp!$DS$59</definedName>
    <definedName name="Variable_x_122" localSheetId="1" hidden="1">MODEL_07_SetCovering_50x200.lp!$DT$2</definedName>
    <definedName name="Variable_x_122_Type" localSheetId="1" hidden="1">MODEL_07_SetCovering_50x200.lp!$DT$59</definedName>
    <definedName name="Variable_x_123" localSheetId="1" hidden="1">MODEL_07_SetCovering_50x200.lp!$DU$2</definedName>
    <definedName name="Variable_x_123_Type" localSheetId="1" hidden="1">MODEL_07_SetCovering_50x200.lp!$DU$59</definedName>
    <definedName name="Variable_x_124" localSheetId="1" hidden="1">MODEL_07_SetCovering_50x200.lp!$DV$2</definedName>
    <definedName name="Variable_x_124_Type" localSheetId="1" hidden="1">MODEL_07_SetCovering_50x200.lp!$DV$59</definedName>
    <definedName name="Variable_x_125" localSheetId="1" hidden="1">MODEL_07_SetCovering_50x200.lp!$DW$2</definedName>
    <definedName name="Variable_x_125_Type" localSheetId="1" hidden="1">MODEL_07_SetCovering_50x200.lp!$DW$59</definedName>
    <definedName name="Variable_x_126" localSheetId="1" hidden="1">MODEL_07_SetCovering_50x200.lp!$DX$2</definedName>
    <definedName name="Variable_x_126_Type" localSheetId="1" hidden="1">MODEL_07_SetCovering_50x200.lp!$DX$59</definedName>
    <definedName name="Variable_x_127" localSheetId="1" hidden="1">MODEL_07_SetCovering_50x200.lp!$DY$2</definedName>
    <definedName name="Variable_x_127_Type" localSheetId="1" hidden="1">MODEL_07_SetCovering_50x200.lp!$DY$59</definedName>
    <definedName name="Variable_x_128" localSheetId="1" hidden="1">MODEL_07_SetCovering_50x200.lp!$DZ$2</definedName>
    <definedName name="Variable_x_128_Type" localSheetId="1" hidden="1">MODEL_07_SetCovering_50x200.lp!$DZ$59</definedName>
    <definedName name="Variable_x_129" localSheetId="1" hidden="1">MODEL_07_SetCovering_50x200.lp!$EA$2</definedName>
    <definedName name="Variable_x_129_Type" localSheetId="1" hidden="1">MODEL_07_SetCovering_50x200.lp!$EA$59</definedName>
    <definedName name="Variable_x_13" localSheetId="1" hidden="1">MODEL_07_SetCovering_50x200.lp!$O$2</definedName>
    <definedName name="Variable_x_13_Type" localSheetId="1" hidden="1">MODEL_07_SetCovering_50x200.lp!$O$59</definedName>
    <definedName name="Variable_x_130" localSheetId="1" hidden="1">MODEL_07_SetCovering_50x200.lp!$EB$2</definedName>
    <definedName name="Variable_x_130_Type" localSheetId="1" hidden="1">MODEL_07_SetCovering_50x200.lp!$EB$59</definedName>
    <definedName name="Variable_x_131" localSheetId="1" hidden="1">MODEL_07_SetCovering_50x200.lp!$EC$2</definedName>
    <definedName name="Variable_x_131_Type" localSheetId="1" hidden="1">MODEL_07_SetCovering_50x200.lp!$EC$59</definedName>
    <definedName name="Variable_x_132" localSheetId="1" hidden="1">MODEL_07_SetCovering_50x200.lp!$ED$2</definedName>
    <definedName name="Variable_x_132_Type" localSheetId="1" hidden="1">MODEL_07_SetCovering_50x200.lp!$ED$59</definedName>
    <definedName name="Variable_x_133" localSheetId="1" hidden="1">MODEL_07_SetCovering_50x200.lp!$EE$2</definedName>
    <definedName name="Variable_x_133_Type" localSheetId="1" hidden="1">MODEL_07_SetCovering_50x200.lp!$EE$59</definedName>
    <definedName name="Variable_x_134" localSheetId="1" hidden="1">MODEL_07_SetCovering_50x200.lp!$EF$2</definedName>
    <definedName name="Variable_x_134_Type" localSheetId="1" hidden="1">MODEL_07_SetCovering_50x200.lp!$EF$59</definedName>
    <definedName name="Variable_x_135" localSheetId="1" hidden="1">MODEL_07_SetCovering_50x200.lp!$EG$2</definedName>
    <definedName name="Variable_x_135_Type" localSheetId="1" hidden="1">MODEL_07_SetCovering_50x200.lp!$EG$59</definedName>
    <definedName name="Variable_x_136" localSheetId="1" hidden="1">MODEL_07_SetCovering_50x200.lp!$EH$2</definedName>
    <definedName name="Variable_x_136_Type" localSheetId="1" hidden="1">MODEL_07_SetCovering_50x200.lp!$EH$59</definedName>
    <definedName name="Variable_x_137" localSheetId="1" hidden="1">MODEL_07_SetCovering_50x200.lp!$EI$2</definedName>
    <definedName name="Variable_x_137_Type" localSheetId="1" hidden="1">MODEL_07_SetCovering_50x200.lp!$EI$59</definedName>
    <definedName name="Variable_x_138" localSheetId="1" hidden="1">MODEL_07_SetCovering_50x200.lp!$EJ$2</definedName>
    <definedName name="Variable_x_138_Type" localSheetId="1" hidden="1">MODEL_07_SetCovering_50x200.lp!$EJ$59</definedName>
    <definedName name="Variable_x_139" localSheetId="1" hidden="1">MODEL_07_SetCovering_50x200.lp!$EK$2</definedName>
    <definedName name="Variable_x_139_Type" localSheetId="1" hidden="1">MODEL_07_SetCovering_50x200.lp!$EK$59</definedName>
    <definedName name="Variable_x_14" localSheetId="1" hidden="1">MODEL_07_SetCovering_50x200.lp!$P$2</definedName>
    <definedName name="Variable_x_14_Type" localSheetId="1" hidden="1">MODEL_07_SetCovering_50x200.lp!$P$59</definedName>
    <definedName name="Variable_x_140" localSheetId="1" hidden="1">MODEL_07_SetCovering_50x200.lp!$EL$2</definedName>
    <definedName name="Variable_x_140_Type" localSheetId="1" hidden="1">MODEL_07_SetCovering_50x200.lp!$EL$59</definedName>
    <definedName name="Variable_x_141" localSheetId="1" hidden="1">MODEL_07_SetCovering_50x200.lp!$EM$2</definedName>
    <definedName name="Variable_x_141_Type" localSheetId="1" hidden="1">MODEL_07_SetCovering_50x200.lp!$EM$59</definedName>
    <definedName name="Variable_x_142" localSheetId="1" hidden="1">MODEL_07_SetCovering_50x200.lp!$EN$2</definedName>
    <definedName name="Variable_x_142_Type" localSheetId="1" hidden="1">MODEL_07_SetCovering_50x200.lp!$EN$59</definedName>
    <definedName name="Variable_x_143" localSheetId="1" hidden="1">MODEL_07_SetCovering_50x200.lp!$EO$2</definedName>
    <definedName name="Variable_x_143_Type" localSheetId="1" hidden="1">MODEL_07_SetCovering_50x200.lp!$EO$59</definedName>
    <definedName name="Variable_x_144" localSheetId="1" hidden="1">MODEL_07_SetCovering_50x200.lp!$EP$2</definedName>
    <definedName name="Variable_x_144_Type" localSheetId="1" hidden="1">MODEL_07_SetCovering_50x200.lp!$EP$59</definedName>
    <definedName name="Variable_x_145" localSheetId="1" hidden="1">MODEL_07_SetCovering_50x200.lp!$EQ$2</definedName>
    <definedName name="Variable_x_145_Type" localSheetId="1" hidden="1">MODEL_07_SetCovering_50x200.lp!$EQ$59</definedName>
    <definedName name="Variable_x_146" localSheetId="1" hidden="1">MODEL_07_SetCovering_50x200.lp!$ER$2</definedName>
    <definedName name="Variable_x_146_Type" localSheetId="1" hidden="1">MODEL_07_SetCovering_50x200.lp!$ER$59</definedName>
    <definedName name="Variable_x_147" localSheetId="1" hidden="1">MODEL_07_SetCovering_50x200.lp!$ES$2</definedName>
    <definedName name="Variable_x_147_Type" localSheetId="1" hidden="1">MODEL_07_SetCovering_50x200.lp!$ES$59</definedName>
    <definedName name="Variable_x_148" localSheetId="1" hidden="1">MODEL_07_SetCovering_50x200.lp!$ET$2</definedName>
    <definedName name="Variable_x_148_Type" localSheetId="1" hidden="1">MODEL_07_SetCovering_50x200.lp!$ET$59</definedName>
    <definedName name="Variable_x_149" localSheetId="1" hidden="1">MODEL_07_SetCovering_50x200.lp!$EU$2</definedName>
    <definedName name="Variable_x_149_Type" localSheetId="1" hidden="1">MODEL_07_SetCovering_50x200.lp!$EU$59</definedName>
    <definedName name="Variable_x_15" localSheetId="1" hidden="1">MODEL_07_SetCovering_50x200.lp!$Q$2</definedName>
    <definedName name="Variable_x_15_Type" localSheetId="1" hidden="1">MODEL_07_SetCovering_50x200.lp!$Q$59</definedName>
    <definedName name="Variable_x_150" localSheetId="1" hidden="1">MODEL_07_SetCovering_50x200.lp!$EV$2</definedName>
    <definedName name="Variable_x_150_Type" localSheetId="1" hidden="1">MODEL_07_SetCovering_50x200.lp!$EV$59</definedName>
    <definedName name="Variable_x_151" localSheetId="1" hidden="1">MODEL_07_SetCovering_50x200.lp!$EW$2</definedName>
    <definedName name="Variable_x_151_Type" localSheetId="1" hidden="1">MODEL_07_SetCovering_50x200.lp!$EW$59</definedName>
    <definedName name="Variable_x_152" localSheetId="1" hidden="1">MODEL_07_SetCovering_50x200.lp!$EX$2</definedName>
    <definedName name="Variable_x_152_Type" localSheetId="1" hidden="1">MODEL_07_SetCovering_50x200.lp!$EX$59</definedName>
    <definedName name="Variable_x_153" localSheetId="1" hidden="1">MODEL_07_SetCovering_50x200.lp!$EY$2</definedName>
    <definedName name="Variable_x_153_Type" localSheetId="1" hidden="1">MODEL_07_SetCovering_50x200.lp!$EY$59</definedName>
    <definedName name="Variable_x_154" localSheetId="1" hidden="1">MODEL_07_SetCovering_50x200.lp!$EZ$2</definedName>
    <definedName name="Variable_x_154_Type" localSheetId="1" hidden="1">MODEL_07_SetCovering_50x200.lp!$EZ$59</definedName>
    <definedName name="Variable_x_155" localSheetId="1" hidden="1">MODEL_07_SetCovering_50x200.lp!$FA$2</definedName>
    <definedName name="Variable_x_155_Type" localSheetId="1" hidden="1">MODEL_07_SetCovering_50x200.lp!$FA$59</definedName>
    <definedName name="Variable_x_156" localSheetId="1" hidden="1">MODEL_07_SetCovering_50x200.lp!$FB$2</definedName>
    <definedName name="Variable_x_156_Type" localSheetId="1" hidden="1">MODEL_07_SetCovering_50x200.lp!$FB$59</definedName>
    <definedName name="Variable_x_157" localSheetId="1" hidden="1">MODEL_07_SetCovering_50x200.lp!$FC$2</definedName>
    <definedName name="Variable_x_157_Type" localSheetId="1" hidden="1">MODEL_07_SetCovering_50x200.lp!$FC$59</definedName>
    <definedName name="Variable_x_158" localSheetId="1" hidden="1">MODEL_07_SetCovering_50x200.lp!$FD$2</definedName>
    <definedName name="Variable_x_158_Type" localSheetId="1" hidden="1">MODEL_07_SetCovering_50x200.lp!$FD$59</definedName>
    <definedName name="Variable_x_159" localSheetId="1" hidden="1">MODEL_07_SetCovering_50x200.lp!$FE$2</definedName>
    <definedName name="Variable_x_159_Type" localSheetId="1" hidden="1">MODEL_07_SetCovering_50x200.lp!$FE$59</definedName>
    <definedName name="Variable_x_16" localSheetId="1" hidden="1">MODEL_07_SetCovering_50x200.lp!$R$2</definedName>
    <definedName name="Variable_x_16_Type" localSheetId="1" hidden="1">MODEL_07_SetCovering_50x200.lp!$R$59</definedName>
    <definedName name="Variable_x_160" localSheetId="1" hidden="1">MODEL_07_SetCovering_50x200.lp!$FF$2</definedName>
    <definedName name="Variable_x_160_Type" localSheetId="1" hidden="1">MODEL_07_SetCovering_50x200.lp!$FF$59</definedName>
    <definedName name="Variable_x_161" localSheetId="1" hidden="1">MODEL_07_SetCovering_50x200.lp!$FG$2</definedName>
    <definedName name="Variable_x_161_Type" localSheetId="1" hidden="1">MODEL_07_SetCovering_50x200.lp!$FG$59</definedName>
    <definedName name="Variable_x_162" localSheetId="1" hidden="1">MODEL_07_SetCovering_50x200.lp!$FH$2</definedName>
    <definedName name="Variable_x_162_Type" localSheetId="1" hidden="1">MODEL_07_SetCovering_50x200.lp!$FH$59</definedName>
    <definedName name="Variable_x_163" localSheetId="1" hidden="1">MODEL_07_SetCovering_50x200.lp!$FI$2</definedName>
    <definedName name="Variable_x_163_Type" localSheetId="1" hidden="1">MODEL_07_SetCovering_50x200.lp!$FI$59</definedName>
    <definedName name="Variable_x_164" localSheetId="1" hidden="1">MODEL_07_SetCovering_50x200.lp!$FJ$2</definedName>
    <definedName name="Variable_x_164_Type" localSheetId="1" hidden="1">MODEL_07_SetCovering_50x200.lp!$FJ$59</definedName>
    <definedName name="Variable_x_165" localSheetId="1" hidden="1">MODEL_07_SetCovering_50x200.lp!$FK$2</definedName>
    <definedName name="Variable_x_165_Type" localSheetId="1" hidden="1">MODEL_07_SetCovering_50x200.lp!$FK$59</definedName>
    <definedName name="Variable_x_166" localSheetId="1" hidden="1">MODEL_07_SetCovering_50x200.lp!$FL$2</definedName>
    <definedName name="Variable_x_166_Type" localSheetId="1" hidden="1">MODEL_07_SetCovering_50x200.lp!$FL$59</definedName>
    <definedName name="Variable_x_167" localSheetId="1" hidden="1">MODEL_07_SetCovering_50x200.lp!$FM$2</definedName>
    <definedName name="Variable_x_167_Type" localSheetId="1" hidden="1">MODEL_07_SetCovering_50x200.lp!$FM$59</definedName>
    <definedName name="Variable_x_168" localSheetId="1" hidden="1">MODEL_07_SetCovering_50x200.lp!$FN$2</definedName>
    <definedName name="Variable_x_168_Type" localSheetId="1" hidden="1">MODEL_07_SetCovering_50x200.lp!$FN$59</definedName>
    <definedName name="Variable_x_169" localSheetId="1" hidden="1">MODEL_07_SetCovering_50x200.lp!$FO$2</definedName>
    <definedName name="Variable_x_169_Type" localSheetId="1" hidden="1">MODEL_07_SetCovering_50x200.lp!$FO$59</definedName>
    <definedName name="Variable_x_17" localSheetId="1" hidden="1">MODEL_07_SetCovering_50x200.lp!$S$2</definedName>
    <definedName name="Variable_x_17_Type" localSheetId="1" hidden="1">MODEL_07_SetCovering_50x200.lp!$S$59</definedName>
    <definedName name="Variable_x_170" localSheetId="1" hidden="1">MODEL_07_SetCovering_50x200.lp!$FP$2</definedName>
    <definedName name="Variable_x_170_Type" localSheetId="1" hidden="1">MODEL_07_SetCovering_50x200.lp!$FP$59</definedName>
    <definedName name="Variable_x_171" localSheetId="1" hidden="1">MODEL_07_SetCovering_50x200.lp!$FQ$2</definedName>
    <definedName name="Variable_x_171_Type" localSheetId="1" hidden="1">MODEL_07_SetCovering_50x200.lp!$FQ$59</definedName>
    <definedName name="Variable_x_172" localSheetId="1" hidden="1">MODEL_07_SetCovering_50x200.lp!$FR$2</definedName>
    <definedName name="Variable_x_172_Type" localSheetId="1" hidden="1">MODEL_07_SetCovering_50x200.lp!$FR$59</definedName>
    <definedName name="Variable_x_173" localSheetId="1" hidden="1">MODEL_07_SetCovering_50x200.lp!$FS$2</definedName>
    <definedName name="Variable_x_173_Type" localSheetId="1" hidden="1">MODEL_07_SetCovering_50x200.lp!$FS$59</definedName>
    <definedName name="Variable_x_174" localSheetId="1" hidden="1">MODEL_07_SetCovering_50x200.lp!$FT$2</definedName>
    <definedName name="Variable_x_174_Type" localSheetId="1" hidden="1">MODEL_07_SetCovering_50x200.lp!$FT$59</definedName>
    <definedName name="Variable_x_175" localSheetId="1" hidden="1">MODEL_07_SetCovering_50x200.lp!$FU$2</definedName>
    <definedName name="Variable_x_175_Type" localSheetId="1" hidden="1">MODEL_07_SetCovering_50x200.lp!$FU$59</definedName>
    <definedName name="Variable_x_176" localSheetId="1" hidden="1">MODEL_07_SetCovering_50x200.lp!$FV$2</definedName>
    <definedName name="Variable_x_176_Type" localSheetId="1" hidden="1">MODEL_07_SetCovering_50x200.lp!$FV$59</definedName>
    <definedName name="Variable_x_177" localSheetId="1" hidden="1">MODEL_07_SetCovering_50x200.lp!$FW$2</definedName>
    <definedName name="Variable_x_177_Type" localSheetId="1" hidden="1">MODEL_07_SetCovering_50x200.lp!$FW$59</definedName>
    <definedName name="Variable_x_178" localSheetId="1" hidden="1">MODEL_07_SetCovering_50x200.lp!$FX$2</definedName>
    <definedName name="Variable_x_178_Type" localSheetId="1" hidden="1">MODEL_07_SetCovering_50x200.lp!$FX$59</definedName>
    <definedName name="Variable_x_179" localSheetId="1" hidden="1">MODEL_07_SetCovering_50x200.lp!$FY$2</definedName>
    <definedName name="Variable_x_179_Type" localSheetId="1" hidden="1">MODEL_07_SetCovering_50x200.lp!$FY$59</definedName>
    <definedName name="Variable_x_18" localSheetId="1" hidden="1">MODEL_07_SetCovering_50x200.lp!$T$2</definedName>
    <definedName name="Variable_x_18_Type" localSheetId="1" hidden="1">MODEL_07_SetCovering_50x200.lp!$T$59</definedName>
    <definedName name="Variable_x_180" localSheetId="1" hidden="1">MODEL_07_SetCovering_50x200.lp!$FZ$2</definedName>
    <definedName name="Variable_x_180_Type" localSheetId="1" hidden="1">MODEL_07_SetCovering_50x200.lp!$FZ$59</definedName>
    <definedName name="Variable_x_181" localSheetId="1" hidden="1">MODEL_07_SetCovering_50x200.lp!$GA$2</definedName>
    <definedName name="Variable_x_181_Type" localSheetId="1" hidden="1">MODEL_07_SetCovering_50x200.lp!$GA$59</definedName>
    <definedName name="Variable_x_182" localSheetId="1" hidden="1">MODEL_07_SetCovering_50x200.lp!$GB$2</definedName>
    <definedName name="Variable_x_182_Type" localSheetId="1" hidden="1">MODEL_07_SetCovering_50x200.lp!$GB$59</definedName>
    <definedName name="Variable_x_183" localSheetId="1" hidden="1">MODEL_07_SetCovering_50x200.lp!$GC$2</definedName>
    <definedName name="Variable_x_183_Type" localSheetId="1" hidden="1">MODEL_07_SetCovering_50x200.lp!$GC$59</definedName>
    <definedName name="Variable_x_184" localSheetId="1" hidden="1">MODEL_07_SetCovering_50x200.lp!$GD$2</definedName>
    <definedName name="Variable_x_184_Type" localSheetId="1" hidden="1">MODEL_07_SetCovering_50x200.lp!$GD$59</definedName>
    <definedName name="Variable_x_185" localSheetId="1" hidden="1">MODEL_07_SetCovering_50x200.lp!$GE$2</definedName>
    <definedName name="Variable_x_185_Type" localSheetId="1" hidden="1">MODEL_07_SetCovering_50x200.lp!$GE$59</definedName>
    <definedName name="Variable_x_186" localSheetId="1" hidden="1">MODEL_07_SetCovering_50x200.lp!$GF$2</definedName>
    <definedName name="Variable_x_186_Type" localSheetId="1" hidden="1">MODEL_07_SetCovering_50x200.lp!$GF$59</definedName>
    <definedName name="Variable_x_187" localSheetId="1" hidden="1">MODEL_07_SetCovering_50x200.lp!$GG$2</definedName>
    <definedName name="Variable_x_187_Type" localSheetId="1" hidden="1">MODEL_07_SetCovering_50x200.lp!$GG$59</definedName>
    <definedName name="Variable_x_188" localSheetId="1" hidden="1">MODEL_07_SetCovering_50x200.lp!$GH$2</definedName>
    <definedName name="Variable_x_188_Type" localSheetId="1" hidden="1">MODEL_07_SetCovering_50x200.lp!$GH$59</definedName>
    <definedName name="Variable_x_189" localSheetId="1" hidden="1">MODEL_07_SetCovering_50x200.lp!$GI$2</definedName>
    <definedName name="Variable_x_189_Type" localSheetId="1" hidden="1">MODEL_07_SetCovering_50x200.lp!$GI$59</definedName>
    <definedName name="Variable_x_19" localSheetId="1" hidden="1">MODEL_07_SetCovering_50x200.lp!$U$2</definedName>
    <definedName name="Variable_x_19_Type" localSheetId="1" hidden="1">MODEL_07_SetCovering_50x200.lp!$U$59</definedName>
    <definedName name="Variable_x_190" localSheetId="1" hidden="1">MODEL_07_SetCovering_50x200.lp!$GJ$2</definedName>
    <definedName name="Variable_x_190_Type" localSheetId="1" hidden="1">MODEL_07_SetCovering_50x200.lp!$GJ$59</definedName>
    <definedName name="Variable_x_191" localSheetId="1" hidden="1">MODEL_07_SetCovering_50x200.lp!$GK$2</definedName>
    <definedName name="Variable_x_191_Type" localSheetId="1" hidden="1">MODEL_07_SetCovering_50x200.lp!$GK$59</definedName>
    <definedName name="Variable_x_192" localSheetId="1" hidden="1">MODEL_07_SetCovering_50x200.lp!$GL$2</definedName>
    <definedName name="Variable_x_192_Type" localSheetId="1" hidden="1">MODEL_07_SetCovering_50x200.lp!$GL$59</definedName>
    <definedName name="Variable_x_193" localSheetId="1" hidden="1">MODEL_07_SetCovering_50x200.lp!$GM$2</definedName>
    <definedName name="Variable_x_193_Type" localSheetId="1" hidden="1">MODEL_07_SetCovering_50x200.lp!$GM$59</definedName>
    <definedName name="Variable_x_194" localSheetId="1" hidden="1">MODEL_07_SetCovering_50x200.lp!$GN$2</definedName>
    <definedName name="Variable_x_194_Type" localSheetId="1" hidden="1">MODEL_07_SetCovering_50x200.lp!$GN$59</definedName>
    <definedName name="Variable_x_195" localSheetId="1" hidden="1">MODEL_07_SetCovering_50x200.lp!$GO$2</definedName>
    <definedName name="Variable_x_195_Type" localSheetId="1" hidden="1">MODEL_07_SetCovering_50x200.lp!$GO$59</definedName>
    <definedName name="Variable_x_196" localSheetId="1" hidden="1">MODEL_07_SetCovering_50x200.lp!$GP$2</definedName>
    <definedName name="Variable_x_196_Type" localSheetId="1" hidden="1">MODEL_07_SetCovering_50x200.lp!$GP$59</definedName>
    <definedName name="Variable_x_197" localSheetId="1" hidden="1">MODEL_07_SetCovering_50x200.lp!$GQ$2</definedName>
    <definedName name="Variable_x_197_Type" localSheetId="1" hidden="1">MODEL_07_SetCovering_50x200.lp!$GQ$59</definedName>
    <definedName name="Variable_x_198" localSheetId="1" hidden="1">MODEL_07_SetCovering_50x200.lp!$GR$2</definedName>
    <definedName name="Variable_x_198_Type" localSheetId="1" hidden="1">MODEL_07_SetCovering_50x200.lp!$GR$59</definedName>
    <definedName name="Variable_x_199" localSheetId="1" hidden="1">MODEL_07_SetCovering_50x200.lp!$GS$2</definedName>
    <definedName name="Variable_x_199_Type" localSheetId="1" hidden="1">MODEL_07_SetCovering_50x200.lp!$GS$59</definedName>
    <definedName name="Variable_x_2" localSheetId="1" hidden="1">MODEL_07_SetCovering_50x200.lp!$D$2</definedName>
    <definedName name="Variable_x_2_Type" localSheetId="1" hidden="1">MODEL_07_SetCovering_50x200.lp!$D$59</definedName>
    <definedName name="Variable_x_20" localSheetId="1" hidden="1">MODEL_07_SetCovering_50x200.lp!$V$2</definedName>
    <definedName name="Variable_x_20_Type" localSheetId="1" hidden="1">MODEL_07_SetCovering_50x200.lp!$V$59</definedName>
    <definedName name="Variable_x_200" localSheetId="1" hidden="1">MODEL_07_SetCovering_50x200.lp!$GT$2</definedName>
    <definedName name="Variable_x_200_Type" localSheetId="1" hidden="1">MODEL_07_SetCovering_50x200.lp!$GT$59</definedName>
    <definedName name="Variable_x_21" localSheetId="1" hidden="1">MODEL_07_SetCovering_50x200.lp!$W$2</definedName>
    <definedName name="Variable_x_21_Type" localSheetId="1" hidden="1">MODEL_07_SetCovering_50x200.lp!$W$59</definedName>
    <definedName name="Variable_x_22" localSheetId="1" hidden="1">MODEL_07_SetCovering_50x200.lp!$X$2</definedName>
    <definedName name="Variable_x_22_Type" localSheetId="1" hidden="1">MODEL_07_SetCovering_50x200.lp!$X$59</definedName>
    <definedName name="Variable_x_23" localSheetId="1" hidden="1">MODEL_07_SetCovering_50x200.lp!$Y$2</definedName>
    <definedName name="Variable_x_23_Type" localSheetId="1" hidden="1">MODEL_07_SetCovering_50x200.lp!$Y$59</definedName>
    <definedName name="Variable_x_24" localSheetId="1" hidden="1">MODEL_07_SetCovering_50x200.lp!$Z$2</definedName>
    <definedName name="Variable_x_24_Type" localSheetId="1" hidden="1">MODEL_07_SetCovering_50x200.lp!$Z$59</definedName>
    <definedName name="Variable_x_25" localSheetId="1" hidden="1">MODEL_07_SetCovering_50x200.lp!$AA$2</definedName>
    <definedName name="Variable_x_25_Type" localSheetId="1" hidden="1">MODEL_07_SetCovering_50x200.lp!$AA$59</definedName>
    <definedName name="Variable_x_26" localSheetId="1" hidden="1">MODEL_07_SetCovering_50x200.lp!$AB$2</definedName>
    <definedName name="Variable_x_26_Type" localSheetId="1" hidden="1">MODEL_07_SetCovering_50x200.lp!$AB$59</definedName>
    <definedName name="Variable_x_27" localSheetId="1" hidden="1">MODEL_07_SetCovering_50x200.lp!$AC$2</definedName>
    <definedName name="Variable_x_27_Type" localSheetId="1" hidden="1">MODEL_07_SetCovering_50x200.lp!$AC$59</definedName>
    <definedName name="Variable_x_28" localSheetId="1" hidden="1">MODEL_07_SetCovering_50x200.lp!$AD$2</definedName>
    <definedName name="Variable_x_28_Type" localSheetId="1" hidden="1">MODEL_07_SetCovering_50x200.lp!$AD$59</definedName>
    <definedName name="Variable_x_29" localSheetId="1" hidden="1">MODEL_07_SetCovering_50x200.lp!$AE$2</definedName>
    <definedName name="Variable_x_29_Type" localSheetId="1" hidden="1">MODEL_07_SetCovering_50x200.lp!$AE$59</definedName>
    <definedName name="Variable_x_3" localSheetId="1" hidden="1">MODEL_07_SetCovering_50x200.lp!$E$2</definedName>
    <definedName name="Variable_x_3_Type" localSheetId="1" hidden="1">MODEL_07_SetCovering_50x200.lp!$E$59</definedName>
    <definedName name="Variable_x_30" localSheetId="1" hidden="1">MODEL_07_SetCovering_50x200.lp!$AF$2</definedName>
    <definedName name="Variable_x_30_Type" localSheetId="1" hidden="1">MODEL_07_SetCovering_50x200.lp!$AF$59</definedName>
    <definedName name="Variable_x_31" localSheetId="1" hidden="1">MODEL_07_SetCovering_50x200.lp!$AG$2</definedName>
    <definedName name="Variable_x_31_Type" localSheetId="1" hidden="1">MODEL_07_SetCovering_50x200.lp!$AG$59</definedName>
    <definedName name="Variable_x_32" localSheetId="1" hidden="1">MODEL_07_SetCovering_50x200.lp!$AH$2</definedName>
    <definedName name="Variable_x_32_Type" localSheetId="1" hidden="1">MODEL_07_SetCovering_50x200.lp!$AH$59</definedName>
    <definedName name="Variable_x_33" localSheetId="1" hidden="1">MODEL_07_SetCovering_50x200.lp!$AI$2</definedName>
    <definedName name="Variable_x_33_Type" localSheetId="1" hidden="1">MODEL_07_SetCovering_50x200.lp!$AI$59</definedName>
    <definedName name="Variable_x_34" localSheetId="1" hidden="1">MODEL_07_SetCovering_50x200.lp!$AJ$2</definedName>
    <definedName name="Variable_x_34_Type" localSheetId="1" hidden="1">MODEL_07_SetCovering_50x200.lp!$AJ$59</definedName>
    <definedName name="Variable_x_35" localSheetId="1" hidden="1">MODEL_07_SetCovering_50x200.lp!$AK$2</definedName>
    <definedName name="Variable_x_35_Type" localSheetId="1" hidden="1">MODEL_07_SetCovering_50x200.lp!$AK$59</definedName>
    <definedName name="Variable_x_36" localSheetId="1" hidden="1">MODEL_07_SetCovering_50x200.lp!$AL$2</definedName>
    <definedName name="Variable_x_36_Type" localSheetId="1" hidden="1">MODEL_07_SetCovering_50x200.lp!$AL$59</definedName>
    <definedName name="Variable_x_37" localSheetId="1" hidden="1">MODEL_07_SetCovering_50x200.lp!$AM$2</definedName>
    <definedName name="Variable_x_37_Type" localSheetId="1" hidden="1">MODEL_07_SetCovering_50x200.lp!$AM$59</definedName>
    <definedName name="Variable_x_38" localSheetId="1" hidden="1">MODEL_07_SetCovering_50x200.lp!$AN$2</definedName>
    <definedName name="Variable_x_38_Type" localSheetId="1" hidden="1">MODEL_07_SetCovering_50x200.lp!$AN$59</definedName>
    <definedName name="Variable_x_39" localSheetId="1" hidden="1">MODEL_07_SetCovering_50x200.lp!$AO$2</definedName>
    <definedName name="Variable_x_39_Type" localSheetId="1" hidden="1">MODEL_07_SetCovering_50x200.lp!$AO$59</definedName>
    <definedName name="Variable_x_4" localSheetId="1" hidden="1">MODEL_07_SetCovering_50x200.lp!$F$2</definedName>
    <definedName name="Variable_x_4_Type" localSheetId="1" hidden="1">MODEL_07_SetCovering_50x200.lp!$F$59</definedName>
    <definedName name="Variable_x_40" localSheetId="1" hidden="1">MODEL_07_SetCovering_50x200.lp!$AP$2</definedName>
    <definedName name="Variable_x_40_Type" localSheetId="1" hidden="1">MODEL_07_SetCovering_50x200.lp!$AP$59</definedName>
    <definedName name="Variable_x_41" localSheetId="1" hidden="1">MODEL_07_SetCovering_50x200.lp!$AQ$2</definedName>
    <definedName name="Variable_x_41_Type" localSheetId="1" hidden="1">MODEL_07_SetCovering_50x200.lp!$AQ$59</definedName>
    <definedName name="Variable_x_42" localSheetId="1" hidden="1">MODEL_07_SetCovering_50x200.lp!$AR$2</definedName>
    <definedName name="Variable_x_42_Type" localSheetId="1" hidden="1">MODEL_07_SetCovering_50x200.lp!$AR$59</definedName>
    <definedName name="Variable_x_43" localSheetId="1" hidden="1">MODEL_07_SetCovering_50x200.lp!$AS$2</definedName>
    <definedName name="Variable_x_43_Type" localSheetId="1" hidden="1">MODEL_07_SetCovering_50x200.lp!$AS$59</definedName>
    <definedName name="Variable_x_44" localSheetId="1" hidden="1">MODEL_07_SetCovering_50x200.lp!$AT$2</definedName>
    <definedName name="Variable_x_44_Type" localSheetId="1" hidden="1">MODEL_07_SetCovering_50x200.lp!$AT$59</definedName>
    <definedName name="Variable_x_45" localSheetId="1" hidden="1">MODEL_07_SetCovering_50x200.lp!$AU$2</definedName>
    <definedName name="Variable_x_45_Type" localSheetId="1" hidden="1">MODEL_07_SetCovering_50x200.lp!$AU$59</definedName>
    <definedName name="Variable_x_46" localSheetId="1" hidden="1">MODEL_07_SetCovering_50x200.lp!$AV$2</definedName>
    <definedName name="Variable_x_46_Type" localSheetId="1" hidden="1">MODEL_07_SetCovering_50x200.lp!$AV$59</definedName>
    <definedName name="Variable_x_47" localSheetId="1" hidden="1">MODEL_07_SetCovering_50x200.lp!$AW$2</definedName>
    <definedName name="Variable_x_47_Type" localSheetId="1" hidden="1">MODEL_07_SetCovering_50x200.lp!$AW$59</definedName>
    <definedName name="Variable_x_48" localSheetId="1" hidden="1">MODEL_07_SetCovering_50x200.lp!$AX$2</definedName>
    <definedName name="Variable_x_48_Type" localSheetId="1" hidden="1">MODEL_07_SetCovering_50x200.lp!$AX$59</definedName>
    <definedName name="Variable_x_49" localSheetId="1" hidden="1">MODEL_07_SetCovering_50x200.lp!$AY$2</definedName>
    <definedName name="Variable_x_49_Type" localSheetId="1" hidden="1">MODEL_07_SetCovering_50x200.lp!$AY$59</definedName>
    <definedName name="Variable_x_5" localSheetId="1" hidden="1">MODEL_07_SetCovering_50x200.lp!$G$2</definedName>
    <definedName name="Variable_x_5_Type" localSheetId="1" hidden="1">MODEL_07_SetCovering_50x200.lp!$G$59</definedName>
    <definedName name="Variable_x_50" localSheetId="1" hidden="1">MODEL_07_SetCovering_50x200.lp!$AZ$2</definedName>
    <definedName name="Variable_x_50_Type" localSheetId="1" hidden="1">MODEL_07_SetCovering_50x200.lp!$AZ$59</definedName>
    <definedName name="Variable_x_51" localSheetId="1" hidden="1">MODEL_07_SetCovering_50x200.lp!$BA$2</definedName>
    <definedName name="Variable_x_51_Type" localSheetId="1" hidden="1">MODEL_07_SetCovering_50x200.lp!$BA$59</definedName>
    <definedName name="Variable_x_52" localSheetId="1" hidden="1">MODEL_07_SetCovering_50x200.lp!$BB$2</definedName>
    <definedName name="Variable_x_52_Type" localSheetId="1" hidden="1">MODEL_07_SetCovering_50x200.lp!$BB$59</definedName>
    <definedName name="Variable_x_53" localSheetId="1" hidden="1">MODEL_07_SetCovering_50x200.lp!$BC$2</definedName>
    <definedName name="Variable_x_53_Type" localSheetId="1" hidden="1">MODEL_07_SetCovering_50x200.lp!$BC$59</definedName>
    <definedName name="Variable_x_54" localSheetId="1" hidden="1">MODEL_07_SetCovering_50x200.lp!$BD$2</definedName>
    <definedName name="Variable_x_54_Type" localSheetId="1" hidden="1">MODEL_07_SetCovering_50x200.lp!$BD$59</definedName>
    <definedName name="Variable_x_55" localSheetId="1" hidden="1">MODEL_07_SetCovering_50x200.lp!$BE$2</definedName>
    <definedName name="Variable_x_55_Type" localSheetId="1" hidden="1">MODEL_07_SetCovering_50x200.lp!$BE$59</definedName>
    <definedName name="Variable_x_56" localSheetId="1" hidden="1">MODEL_07_SetCovering_50x200.lp!$BF$2</definedName>
    <definedName name="Variable_x_56_Type" localSheetId="1" hidden="1">MODEL_07_SetCovering_50x200.lp!$BF$59</definedName>
    <definedName name="Variable_x_57" localSheetId="1" hidden="1">MODEL_07_SetCovering_50x200.lp!$BG$2</definedName>
    <definedName name="Variable_x_57_Type" localSheetId="1" hidden="1">MODEL_07_SetCovering_50x200.lp!$BG$59</definedName>
    <definedName name="Variable_x_58" localSheetId="1" hidden="1">MODEL_07_SetCovering_50x200.lp!$BH$2</definedName>
    <definedName name="Variable_x_58_Type" localSheetId="1" hidden="1">MODEL_07_SetCovering_50x200.lp!$BH$59</definedName>
    <definedName name="Variable_x_59" localSheetId="1" hidden="1">MODEL_07_SetCovering_50x200.lp!$BI$2</definedName>
    <definedName name="Variable_x_59_Type" localSheetId="1" hidden="1">MODEL_07_SetCovering_50x200.lp!$BI$59</definedName>
    <definedName name="Variable_x_6" localSheetId="1" hidden="1">MODEL_07_SetCovering_50x200.lp!$H$2</definedName>
    <definedName name="Variable_x_6_Type" localSheetId="1" hidden="1">MODEL_07_SetCovering_50x200.lp!$H$59</definedName>
    <definedName name="Variable_x_60" localSheetId="1" hidden="1">MODEL_07_SetCovering_50x200.lp!$BJ$2</definedName>
    <definedName name="Variable_x_60_Type" localSheetId="1" hidden="1">MODEL_07_SetCovering_50x200.lp!$BJ$59</definedName>
    <definedName name="Variable_x_61" localSheetId="1" hidden="1">MODEL_07_SetCovering_50x200.lp!$BK$2</definedName>
    <definedName name="Variable_x_61_Type" localSheetId="1" hidden="1">MODEL_07_SetCovering_50x200.lp!$BK$59</definedName>
    <definedName name="Variable_x_62" localSheetId="1" hidden="1">MODEL_07_SetCovering_50x200.lp!$BL$2</definedName>
    <definedName name="Variable_x_62_Type" localSheetId="1" hidden="1">MODEL_07_SetCovering_50x200.lp!$BL$59</definedName>
    <definedName name="Variable_x_63" localSheetId="1" hidden="1">MODEL_07_SetCovering_50x200.lp!$BM$2</definedName>
    <definedName name="Variable_x_63_Type" localSheetId="1" hidden="1">MODEL_07_SetCovering_50x200.lp!$BM$59</definedName>
    <definedName name="Variable_x_64" localSheetId="1" hidden="1">MODEL_07_SetCovering_50x200.lp!$BN$2</definedName>
    <definedName name="Variable_x_64_Type" localSheetId="1" hidden="1">MODEL_07_SetCovering_50x200.lp!$BN$59</definedName>
    <definedName name="Variable_x_65" localSheetId="1" hidden="1">MODEL_07_SetCovering_50x200.lp!$BO$2</definedName>
    <definedName name="Variable_x_65_Type" localSheetId="1" hidden="1">MODEL_07_SetCovering_50x200.lp!$BO$59</definedName>
    <definedName name="Variable_x_66" localSheetId="1" hidden="1">MODEL_07_SetCovering_50x200.lp!$BP$2</definedName>
    <definedName name="Variable_x_66_Type" localSheetId="1" hidden="1">MODEL_07_SetCovering_50x200.lp!$BP$59</definedName>
    <definedName name="Variable_x_67" localSheetId="1" hidden="1">MODEL_07_SetCovering_50x200.lp!$BQ$2</definedName>
    <definedName name="Variable_x_67_Type" localSheetId="1" hidden="1">MODEL_07_SetCovering_50x200.lp!$BQ$59</definedName>
    <definedName name="Variable_x_68" localSheetId="1" hidden="1">MODEL_07_SetCovering_50x200.lp!$BR$2</definedName>
    <definedName name="Variable_x_68_Type" localSheetId="1" hidden="1">MODEL_07_SetCovering_50x200.lp!$BR$59</definedName>
    <definedName name="Variable_x_69" localSheetId="1" hidden="1">MODEL_07_SetCovering_50x200.lp!$BS$2</definedName>
    <definedName name="Variable_x_69_Type" localSheetId="1" hidden="1">MODEL_07_SetCovering_50x200.lp!$BS$59</definedName>
    <definedName name="Variable_x_7" localSheetId="1" hidden="1">MODEL_07_SetCovering_50x200.lp!$I$2</definedName>
    <definedName name="Variable_x_7_Type" localSheetId="1" hidden="1">MODEL_07_SetCovering_50x200.lp!$I$59</definedName>
    <definedName name="Variable_x_70" localSheetId="1" hidden="1">MODEL_07_SetCovering_50x200.lp!$BT$2</definedName>
    <definedName name="Variable_x_70_Type" localSheetId="1" hidden="1">MODEL_07_SetCovering_50x200.lp!$BT$59</definedName>
    <definedName name="Variable_x_71" localSheetId="1" hidden="1">MODEL_07_SetCovering_50x200.lp!$BU$2</definedName>
    <definedName name="Variable_x_71_Type" localSheetId="1" hidden="1">MODEL_07_SetCovering_50x200.lp!$BU$59</definedName>
    <definedName name="Variable_x_72" localSheetId="1" hidden="1">MODEL_07_SetCovering_50x200.lp!$BV$2</definedName>
    <definedName name="Variable_x_72_Type" localSheetId="1" hidden="1">MODEL_07_SetCovering_50x200.lp!$BV$59</definedName>
    <definedName name="Variable_x_73" localSheetId="1" hidden="1">MODEL_07_SetCovering_50x200.lp!$BW$2</definedName>
    <definedName name="Variable_x_73_Type" localSheetId="1" hidden="1">MODEL_07_SetCovering_50x200.lp!$BW$59</definedName>
    <definedName name="Variable_x_74" localSheetId="1" hidden="1">MODEL_07_SetCovering_50x200.lp!$BX$2</definedName>
    <definedName name="Variable_x_74_Type" localSheetId="1" hidden="1">MODEL_07_SetCovering_50x200.lp!$BX$59</definedName>
    <definedName name="Variable_x_75" localSheetId="1" hidden="1">MODEL_07_SetCovering_50x200.lp!$BY$2</definedName>
    <definedName name="Variable_x_75_Type" localSheetId="1" hidden="1">MODEL_07_SetCovering_50x200.lp!$BY$59</definedName>
    <definedName name="Variable_x_76" localSheetId="1" hidden="1">MODEL_07_SetCovering_50x200.lp!$BZ$2</definedName>
    <definedName name="Variable_x_76_Type" localSheetId="1" hidden="1">MODEL_07_SetCovering_50x200.lp!$BZ$59</definedName>
    <definedName name="Variable_x_77" localSheetId="1" hidden="1">MODEL_07_SetCovering_50x200.lp!$CA$2</definedName>
    <definedName name="Variable_x_77_Type" localSheetId="1" hidden="1">MODEL_07_SetCovering_50x200.lp!$CA$59</definedName>
    <definedName name="Variable_x_78" localSheetId="1" hidden="1">MODEL_07_SetCovering_50x200.lp!$CB$2</definedName>
    <definedName name="Variable_x_78_Type" localSheetId="1" hidden="1">MODEL_07_SetCovering_50x200.lp!$CB$59</definedName>
    <definedName name="Variable_x_79" localSheetId="1" hidden="1">MODEL_07_SetCovering_50x200.lp!$CC$2</definedName>
    <definedName name="Variable_x_79_Type" localSheetId="1" hidden="1">MODEL_07_SetCovering_50x200.lp!$CC$59</definedName>
    <definedName name="Variable_x_8" localSheetId="1" hidden="1">MODEL_07_SetCovering_50x200.lp!$J$2</definedName>
    <definedName name="Variable_x_8_Type" localSheetId="1" hidden="1">MODEL_07_SetCovering_50x200.lp!$J$59</definedName>
    <definedName name="Variable_x_80" localSheetId="1" hidden="1">MODEL_07_SetCovering_50x200.lp!$CD$2</definedName>
    <definedName name="Variable_x_80_Type" localSheetId="1" hidden="1">MODEL_07_SetCovering_50x200.lp!$CD$59</definedName>
    <definedName name="Variable_x_81" localSheetId="1" hidden="1">MODEL_07_SetCovering_50x200.lp!$CE$2</definedName>
    <definedName name="Variable_x_81_Type" localSheetId="1" hidden="1">MODEL_07_SetCovering_50x200.lp!$CE$59</definedName>
    <definedName name="Variable_x_82" localSheetId="1" hidden="1">MODEL_07_SetCovering_50x200.lp!$CF$2</definedName>
    <definedName name="Variable_x_82_Type" localSheetId="1" hidden="1">MODEL_07_SetCovering_50x200.lp!$CF$59</definedName>
    <definedName name="Variable_x_83" localSheetId="1" hidden="1">MODEL_07_SetCovering_50x200.lp!$CG$2</definedName>
    <definedName name="Variable_x_83_Type" localSheetId="1" hidden="1">MODEL_07_SetCovering_50x200.lp!$CG$59</definedName>
    <definedName name="Variable_x_84" localSheetId="1" hidden="1">MODEL_07_SetCovering_50x200.lp!$CH$2</definedName>
    <definedName name="Variable_x_84_Type" localSheetId="1" hidden="1">MODEL_07_SetCovering_50x200.lp!$CH$59</definedName>
    <definedName name="Variable_x_85" localSheetId="1" hidden="1">MODEL_07_SetCovering_50x200.lp!$CI$2</definedName>
    <definedName name="Variable_x_85_Type" localSheetId="1" hidden="1">MODEL_07_SetCovering_50x200.lp!$CI$59</definedName>
    <definedName name="Variable_x_86" localSheetId="1" hidden="1">MODEL_07_SetCovering_50x200.lp!$CJ$2</definedName>
    <definedName name="Variable_x_86_Type" localSheetId="1" hidden="1">MODEL_07_SetCovering_50x200.lp!$CJ$59</definedName>
    <definedName name="Variable_x_87" localSheetId="1" hidden="1">MODEL_07_SetCovering_50x200.lp!$CK$2</definedName>
    <definedName name="Variable_x_87_Type" localSheetId="1" hidden="1">MODEL_07_SetCovering_50x200.lp!$CK$59</definedName>
    <definedName name="Variable_x_88" localSheetId="1" hidden="1">MODEL_07_SetCovering_50x200.lp!$CL$2</definedName>
    <definedName name="Variable_x_88_Type" localSheetId="1" hidden="1">MODEL_07_SetCovering_50x200.lp!$CL$59</definedName>
    <definedName name="Variable_x_89" localSheetId="1" hidden="1">MODEL_07_SetCovering_50x200.lp!$CM$2</definedName>
    <definedName name="Variable_x_89_Type" localSheetId="1" hidden="1">MODEL_07_SetCovering_50x200.lp!$CM$59</definedName>
    <definedName name="Variable_x_9" localSheetId="1" hidden="1">MODEL_07_SetCovering_50x200.lp!$K$2</definedName>
    <definedName name="Variable_x_9_Type" localSheetId="1" hidden="1">MODEL_07_SetCovering_50x200.lp!$K$59</definedName>
    <definedName name="Variable_x_90" localSheetId="1" hidden="1">MODEL_07_SetCovering_50x200.lp!$CN$2</definedName>
    <definedName name="Variable_x_90_Type" localSheetId="1" hidden="1">MODEL_07_SetCovering_50x200.lp!$CN$59</definedName>
    <definedName name="Variable_x_91" localSheetId="1" hidden="1">MODEL_07_SetCovering_50x200.lp!$CO$2</definedName>
    <definedName name="Variable_x_91_Type" localSheetId="1" hidden="1">MODEL_07_SetCovering_50x200.lp!$CO$59</definedName>
    <definedName name="Variable_x_92" localSheetId="1" hidden="1">MODEL_07_SetCovering_50x200.lp!$CP$2</definedName>
    <definedName name="Variable_x_92_Type" localSheetId="1" hidden="1">MODEL_07_SetCovering_50x200.lp!$CP$59</definedName>
    <definedName name="Variable_x_93" localSheetId="1" hidden="1">MODEL_07_SetCovering_50x200.lp!$CQ$2</definedName>
    <definedName name="Variable_x_93_Type" localSheetId="1" hidden="1">MODEL_07_SetCovering_50x200.lp!$CQ$59</definedName>
    <definedName name="Variable_x_94" localSheetId="1" hidden="1">MODEL_07_SetCovering_50x200.lp!$CR$2</definedName>
    <definedName name="Variable_x_94_Type" localSheetId="1" hidden="1">MODEL_07_SetCovering_50x200.lp!$CR$59</definedName>
    <definedName name="Variable_x_95" localSheetId="1" hidden="1">MODEL_07_SetCovering_50x200.lp!$CS$2</definedName>
    <definedName name="Variable_x_95_Type" localSheetId="1" hidden="1">MODEL_07_SetCovering_50x200.lp!$CS$59</definedName>
    <definedName name="Variable_x_96" localSheetId="1" hidden="1">MODEL_07_SetCovering_50x200.lp!$CT$2</definedName>
    <definedName name="Variable_x_96_Type" localSheetId="1" hidden="1">MODEL_07_SetCovering_50x200.lp!$CT$59</definedName>
    <definedName name="Variable_x_97" localSheetId="1" hidden="1">MODEL_07_SetCovering_50x200.lp!$CU$2</definedName>
    <definedName name="Variable_x_97_Type" localSheetId="1" hidden="1">MODEL_07_SetCovering_50x200.lp!$CU$59</definedName>
    <definedName name="Variable_x_98" localSheetId="1" hidden="1">MODEL_07_SetCovering_50x200.lp!$CV$2</definedName>
    <definedName name="Variable_x_98_Type" localSheetId="1" hidden="1">MODEL_07_SetCovering_50x200.lp!$CV$59</definedName>
    <definedName name="Variable_x_99" localSheetId="1" hidden="1">MODEL_07_SetCovering_50x200.lp!$CW$2</definedName>
    <definedName name="Variable_x_99_Type" localSheetId="1" hidden="1">MODEL_07_SetCovering_50x200.lp!$CW$59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V2" i="2" l="1"/>
  <c r="GV4" i="2"/>
  <c r="GV6" i="2"/>
  <c r="GV7" i="2"/>
  <c r="GV8" i="2"/>
  <c r="GV9" i="2"/>
  <c r="GV10" i="2"/>
  <c r="GV11" i="2"/>
  <c r="GV12" i="2"/>
  <c r="GV13" i="2"/>
  <c r="GV14" i="2"/>
  <c r="GV15" i="2"/>
  <c r="GV16" i="2"/>
  <c r="GV17" i="2"/>
  <c r="GV18" i="2"/>
  <c r="GV19" i="2"/>
  <c r="GV20" i="2"/>
  <c r="GV21" i="2"/>
  <c r="GV22" i="2"/>
  <c r="GV23" i="2"/>
  <c r="GV24" i="2"/>
  <c r="GV25" i="2"/>
  <c r="GV26" i="2"/>
  <c r="GV27" i="2"/>
  <c r="GV28" i="2"/>
  <c r="GV29" i="2"/>
  <c r="GV30" i="2"/>
  <c r="GV31" i="2"/>
  <c r="GV32" i="2"/>
  <c r="GV33" i="2"/>
  <c r="GV34" i="2"/>
  <c r="GV35" i="2"/>
  <c r="GV36" i="2"/>
  <c r="GV37" i="2"/>
  <c r="GV38" i="2"/>
  <c r="GV39" i="2"/>
  <c r="GV40" i="2"/>
  <c r="GV41" i="2"/>
  <c r="GV42" i="2"/>
  <c r="GV43" i="2"/>
  <c r="GV44" i="2"/>
  <c r="GV45" i="2"/>
  <c r="GV46" i="2"/>
  <c r="GV47" i="2"/>
  <c r="GV48" i="2"/>
  <c r="GV49" i="2"/>
  <c r="GV50" i="2"/>
  <c r="GV51" i="2"/>
  <c r="GV52" i="2"/>
  <c r="GV53" i="2"/>
  <c r="GV54" i="2"/>
  <c r="GV55" i="2"/>
</calcChain>
</file>

<file path=xl/sharedStrings.xml><?xml version="1.0" encoding="utf-8"?>
<sst xmlns="http://schemas.openxmlformats.org/spreadsheetml/2006/main" count="3146" uniqueCount="1393">
  <si>
    <t>MODEL_07_SetCovering_50x200.lp</t>
  </si>
  <si>
    <t xml:space="preserve"> 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</si>
  <si>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</si>
  <si>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</si>
  <si>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</si>
  <si>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</si>
  <si>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</si>
  <si>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</si>
  <si>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</si>
  <si>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</si>
  <si>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</si>
  <si>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</si>
  <si>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</si>
  <si>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</si>
  <si>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</si>
  <si>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</si>
  <si>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</si>
  <si>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</si>
  <si>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</si>
  <si>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</si>
  <si>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</si>
  <si>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</si>
  <si>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</si>
  <si>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</si>
  <si>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</si>
  <si>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</si>
  <si>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</si>
  <si>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</si>
  <si>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</si>
  <si>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</si>
  <si>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</si>
  <si>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</si>
  <si>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</si>
  <si>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</si>
  <si>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</si>
  <si>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</si>
  <si>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</si>
  <si>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</si>
  <si>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</si>
  <si>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</si>
  <si>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</si>
  <si>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</si>
  <si>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</si>
  <si>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</si>
  <si>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</si>
  <si>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</si>
  <si>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</si>
  <si>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</si>
  <si>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</si>
  <si>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</si>
  <si>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</si>
  <si>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</si>
  <si>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</si>
  <si>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</si>
  <si>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</si>
  <si>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</si>
  <si>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</si>
  <si>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</si>
  <si>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</si>
  <si>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</si>
  <si>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</si>
  <si>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</si>
  <si>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</si>
  <si>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</si>
  <si>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</si>
  <si>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</si>
  <si>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</si>
  <si>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</si>
  <si>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</si>
  <si>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</si>
  <si>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</si>
  <si>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</si>
  <si>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</si>
  <si>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</si>
  <si>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</si>
  <si>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</si>
  <si>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</si>
  <si>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</si>
  <si>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</si>
  <si>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</si>
  <si>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</si>
  <si>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</si>
  <si>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</si>
  <si>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</si>
  <si>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</si>
  <si>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</si>
  <si>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</si>
  <si>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</si>
  <si>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</si>
  <si>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</si>
  <si>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</si>
  <si>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</si>
  <si>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</si>
  <si>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</si>
  <si>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</si>
  <si>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</si>
  <si>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x_95</t>
  </si>
  <si>
    <t>x_96</t>
  </si>
  <si>
    <t>x_97</t>
  </si>
  <si>
    <t>x_98</t>
  </si>
  <si>
    <t>x_99</t>
  </si>
  <si>
    <t>x_100</t>
  </si>
  <si>
    <t>x_101</t>
  </si>
  <si>
    <t>x_102</t>
  </si>
  <si>
    <t>x_103</t>
  </si>
  <si>
    <t>x_104</t>
  </si>
  <si>
    <t>x_105</t>
  </si>
  <si>
    <t>x_106</t>
  </si>
  <si>
    <t>x_107</t>
  </si>
  <si>
    <t>x_108</t>
  </si>
  <si>
    <t>x_109</t>
  </si>
  <si>
    <t>x_110</t>
  </si>
  <si>
    <t>x_111</t>
  </si>
  <si>
    <t>x_112</t>
  </si>
  <si>
    <t>x_113</t>
  </si>
  <si>
    <t>x_114</t>
  </si>
  <si>
    <t>x_115</t>
  </si>
  <si>
    <t>x_116</t>
  </si>
  <si>
    <t>x_117</t>
  </si>
  <si>
    <t>x_118</t>
  </si>
  <si>
    <t>x_119</t>
  </si>
  <si>
    <t>x_120</t>
  </si>
  <si>
    <t>x_121</t>
  </si>
  <si>
    <t>x_122</t>
  </si>
  <si>
    <t>x_123</t>
  </si>
  <si>
    <t>x_124</t>
  </si>
  <si>
    <t>x_125</t>
  </si>
  <si>
    <t>x_126</t>
  </si>
  <si>
    <t>x_127</t>
  </si>
  <si>
    <t>x_128</t>
  </si>
  <si>
    <t>x_129</t>
  </si>
  <si>
    <t>x_130</t>
  </si>
  <si>
    <t>x_131</t>
  </si>
  <si>
    <t>x_132</t>
  </si>
  <si>
    <t>x_133</t>
  </si>
  <si>
    <t>x_134</t>
  </si>
  <si>
    <t>x_135</t>
  </si>
  <si>
    <t>x_136</t>
  </si>
  <si>
    <t>x_137</t>
  </si>
  <si>
    <t>x_138</t>
  </si>
  <si>
    <t>x_139</t>
  </si>
  <si>
    <t>x_140</t>
  </si>
  <si>
    <t>x_141</t>
  </si>
  <si>
    <t>x_142</t>
  </si>
  <si>
    <t>x_143</t>
  </si>
  <si>
    <t>x_144</t>
  </si>
  <si>
    <t>x_145</t>
  </si>
  <si>
    <t>x_146</t>
  </si>
  <si>
    <t>x_147</t>
  </si>
  <si>
    <t>x_148</t>
  </si>
  <si>
    <t>x_149</t>
  </si>
  <si>
    <t>x_150</t>
  </si>
  <si>
    <t>x_151</t>
  </si>
  <si>
    <t>x_152</t>
  </si>
  <si>
    <t>x_153</t>
  </si>
  <si>
    <t>x_154</t>
  </si>
  <si>
    <t>x_155</t>
  </si>
  <si>
    <t>x_156</t>
  </si>
  <si>
    <t>x_157</t>
  </si>
  <si>
    <t>x_158</t>
  </si>
  <si>
    <t>x_159</t>
  </si>
  <si>
    <t>x_160</t>
  </si>
  <si>
    <t>x_161</t>
  </si>
  <si>
    <t>x_162</t>
  </si>
  <si>
    <t>x_163</t>
  </si>
  <si>
    <t>x_164</t>
  </si>
  <si>
    <t>x_165</t>
  </si>
  <si>
    <t>x_166</t>
  </si>
  <si>
    <t>x_167</t>
  </si>
  <si>
    <t>x_168</t>
  </si>
  <si>
    <t>x_169</t>
  </si>
  <si>
    <t>x_170</t>
  </si>
  <si>
    <t>x_171</t>
  </si>
  <si>
    <t>x_172</t>
  </si>
  <si>
    <t>x_173</t>
  </si>
  <si>
    <t>x_174</t>
  </si>
  <si>
    <t>x_175</t>
  </si>
  <si>
    <t>x_176</t>
  </si>
  <si>
    <t>x_177</t>
  </si>
  <si>
    <t>x_178</t>
  </si>
  <si>
    <t>x_179</t>
  </si>
  <si>
    <t>x_180</t>
  </si>
  <si>
    <t>x_181</t>
  </si>
  <si>
    <t>x_182</t>
  </si>
  <si>
    <t>x_183</t>
  </si>
  <si>
    <t>x_184</t>
  </si>
  <si>
    <t>x_185</t>
  </si>
  <si>
    <t>x_186</t>
  </si>
  <si>
    <t>x_187</t>
  </si>
  <si>
    <t>x_188</t>
  </si>
  <si>
    <t>x_189</t>
  </si>
  <si>
    <t>x_190</t>
  </si>
  <si>
    <t>x_191</t>
  </si>
  <si>
    <t>x_192</t>
  </si>
  <si>
    <t>x_193</t>
  </si>
  <si>
    <t>x_194</t>
  </si>
  <si>
    <t>x_195</t>
  </si>
  <si>
    <t>x_196</t>
  </si>
  <si>
    <t>x_197</t>
  </si>
  <si>
    <t>x_198</t>
  </si>
  <si>
    <t>x_199</t>
  </si>
  <si>
    <t>x_200</t>
  </si>
  <si>
    <t>bin</t>
  </si>
  <si>
    <t>cover_1</t>
  </si>
  <si>
    <t>cover_2</t>
  </si>
  <si>
    <t>cover_3</t>
  </si>
  <si>
    <t>cover_4</t>
  </si>
  <si>
    <t>cover_5</t>
  </si>
  <si>
    <t>cover_6</t>
  </si>
  <si>
    <t>cover_7</t>
  </si>
  <si>
    <t>cover_8</t>
  </si>
  <si>
    <t>cover_9</t>
  </si>
  <si>
    <t>cover_10</t>
  </si>
  <si>
    <t>cover_11</t>
  </si>
  <si>
    <t>cover_12</t>
  </si>
  <si>
    <t>cover_13</t>
  </si>
  <si>
    <t>cover_14</t>
  </si>
  <si>
    <t>cover_15</t>
  </si>
  <si>
    <t>cover_16</t>
  </si>
  <si>
    <t>cover_17</t>
  </si>
  <si>
    <t>cover_18</t>
  </si>
  <si>
    <t>cover_19</t>
  </si>
  <si>
    <t>cover_20</t>
  </si>
  <si>
    <t>cover_21</t>
  </si>
  <si>
    <t>cover_22</t>
  </si>
  <si>
    <t>cover_23</t>
  </si>
  <si>
    <t>cover_24</t>
  </si>
  <si>
    <t>cover_25</t>
  </si>
  <si>
    <t>cover_26</t>
  </si>
  <si>
    <t>cover_27</t>
  </si>
  <si>
    <t>cover_28</t>
  </si>
  <si>
    <t>cover_29</t>
  </si>
  <si>
    <t>cover_30</t>
  </si>
  <si>
    <t>cover_31</t>
  </si>
  <si>
    <t>cover_32</t>
  </si>
  <si>
    <t>cover_33</t>
  </si>
  <si>
    <t>cover_34</t>
  </si>
  <si>
    <t>cover_35</t>
  </si>
  <si>
    <t>cover_36</t>
  </si>
  <si>
    <t>cover_37</t>
  </si>
  <si>
    <t>cover_38</t>
  </si>
  <si>
    <t>cover_39</t>
  </si>
  <si>
    <t>cover_40</t>
  </si>
  <si>
    <t>cover_41</t>
  </si>
  <si>
    <t>cover_42</t>
  </si>
  <si>
    <t>cover_43</t>
  </si>
  <si>
    <t>cover_44</t>
  </si>
  <si>
    <t>cover_45</t>
  </si>
  <si>
    <t>cover_46</t>
  </si>
  <si>
    <t>cover_47</t>
  </si>
  <si>
    <t>cover_48</t>
  </si>
  <si>
    <t>cover_49</t>
  </si>
  <si>
    <t>cover_50</t>
  </si>
  <si>
    <t>&gt;=</t>
  </si>
  <si>
    <t>Minimise:</t>
  </si>
  <si>
    <t>obj</t>
  </si>
  <si>
    <t>Subject to:</t>
  </si>
  <si>
    <t xml:space="preserve">Variable bounds: </t>
  </si>
  <si>
    <t>&lt;=</t>
  </si>
  <si>
    <t xml:space="preserve">Variable type: </t>
  </si>
  <si>
    <t>Microsoft Excel 16.0 Informe de respuestas</t>
  </si>
  <si>
    <t>Hoja de cálculo: [Libro1]MODEL_07_SetCovering_50x200.lp</t>
  </si>
  <si>
    <t>Informe creado: 16/06/2026 7:04:45 p. m.</t>
  </si>
  <si>
    <t>Resultado: Solver encontró una solución. Se cumplen todas las restricciones y condiciones óptimas.</t>
  </si>
  <si>
    <t>Motor de Solver</t>
  </si>
  <si>
    <t>Motor: Simplex LP</t>
  </si>
  <si>
    <t>Tiempo de la solución: 0,25 segundos.</t>
  </si>
  <si>
    <t>Iteraciones: 266 Subproblemas: 0</t>
  </si>
  <si>
    <t>Opciones de Solver</t>
  </si>
  <si>
    <t>Tiempo máximo Ilimitado,  Iteraciones Ilimitado, Precision 0,000001</t>
  </si>
  <si>
    <t>Máximo de subproblemas Ilimitado, Máximo de soluciones de enteros Ilimitado, Tolerancia de enteros 5%, Asumir no negativo</t>
  </si>
  <si>
    <t>Celda objetivo (Mín)</t>
  </si>
  <si>
    <t>Celda</t>
  </si>
  <si>
    <t>Nombre</t>
  </si>
  <si>
    <t>Valor original</t>
  </si>
  <si>
    <t>Valor final</t>
  </si>
  <si>
    <t>Celdas de variables</t>
  </si>
  <si>
    <t>Entero</t>
  </si>
  <si>
    <t>Restricciones</t>
  </si>
  <si>
    <t>Valor de la celda</t>
  </si>
  <si>
    <t>Fórmula</t>
  </si>
  <si>
    <t>Estado</t>
  </si>
  <si>
    <t>Demora</t>
  </si>
  <si>
    <t>$GV$4</t>
  </si>
  <si>
    <t>$C$2</t>
  </si>
  <si>
    <t xml:space="preserve">  x_1</t>
  </si>
  <si>
    <t>$D$2</t>
  </si>
  <si>
    <t xml:space="preserve">  x_2</t>
  </si>
  <si>
    <t>$E$2</t>
  </si>
  <si>
    <t xml:space="preserve">  x_3</t>
  </si>
  <si>
    <t>$F$2</t>
  </si>
  <si>
    <t xml:space="preserve">  x_4</t>
  </si>
  <si>
    <t>$G$2</t>
  </si>
  <si>
    <t xml:space="preserve">  x_5</t>
  </si>
  <si>
    <t>$H$2</t>
  </si>
  <si>
    <t xml:space="preserve">  x_6</t>
  </si>
  <si>
    <t>$I$2</t>
  </si>
  <si>
    <t xml:space="preserve">  x_7</t>
  </si>
  <si>
    <t>$J$2</t>
  </si>
  <si>
    <t xml:space="preserve">  x_8</t>
  </si>
  <si>
    <t>$K$2</t>
  </si>
  <si>
    <t xml:space="preserve">  x_9</t>
  </si>
  <si>
    <t>$L$2</t>
  </si>
  <si>
    <t xml:space="preserve">  x_10</t>
  </si>
  <si>
    <t>$M$2</t>
  </si>
  <si>
    <t xml:space="preserve">  x_11</t>
  </si>
  <si>
    <t>$N$2</t>
  </si>
  <si>
    <t xml:space="preserve">  x_12</t>
  </si>
  <si>
    <t>$O$2</t>
  </si>
  <si>
    <t xml:space="preserve">  x_13</t>
  </si>
  <si>
    <t>$P$2</t>
  </si>
  <si>
    <t xml:space="preserve">  x_14</t>
  </si>
  <si>
    <t>$Q$2</t>
  </si>
  <si>
    <t xml:space="preserve">  x_15</t>
  </si>
  <si>
    <t>$R$2</t>
  </si>
  <si>
    <t xml:space="preserve">  x_16</t>
  </si>
  <si>
    <t>$S$2</t>
  </si>
  <si>
    <t xml:space="preserve">  x_17</t>
  </si>
  <si>
    <t>$T$2</t>
  </si>
  <si>
    <t xml:space="preserve">  x_18</t>
  </si>
  <si>
    <t>$U$2</t>
  </si>
  <si>
    <t xml:space="preserve">  x_19</t>
  </si>
  <si>
    <t>$V$2</t>
  </si>
  <si>
    <t xml:space="preserve">  x_20</t>
  </si>
  <si>
    <t>$W$2</t>
  </si>
  <si>
    <t xml:space="preserve">  x_21</t>
  </si>
  <si>
    <t>$X$2</t>
  </si>
  <si>
    <t xml:space="preserve">  x_22</t>
  </si>
  <si>
    <t>$Y$2</t>
  </si>
  <si>
    <t xml:space="preserve">  x_23</t>
  </si>
  <si>
    <t>$Z$2</t>
  </si>
  <si>
    <t xml:space="preserve">  x_24</t>
  </si>
  <si>
    <t>$AA$2</t>
  </si>
  <si>
    <t xml:space="preserve">  x_25</t>
  </si>
  <si>
    <t>$AB$2</t>
  </si>
  <si>
    <t xml:space="preserve">  x_26</t>
  </si>
  <si>
    <t>$AC$2</t>
  </si>
  <si>
    <t xml:space="preserve">  x_27</t>
  </si>
  <si>
    <t>$AD$2</t>
  </si>
  <si>
    <t xml:space="preserve">  x_28</t>
  </si>
  <si>
    <t>$AE$2</t>
  </si>
  <si>
    <t xml:space="preserve">  x_29</t>
  </si>
  <si>
    <t>$AF$2</t>
  </si>
  <si>
    <t xml:space="preserve">  x_30</t>
  </si>
  <si>
    <t>$AG$2</t>
  </si>
  <si>
    <t xml:space="preserve">  x_31</t>
  </si>
  <si>
    <t>$AH$2</t>
  </si>
  <si>
    <t xml:space="preserve">  x_32</t>
  </si>
  <si>
    <t>$AI$2</t>
  </si>
  <si>
    <t xml:space="preserve">  x_33</t>
  </si>
  <si>
    <t>$AJ$2</t>
  </si>
  <si>
    <t xml:space="preserve">  x_34</t>
  </si>
  <si>
    <t>$AK$2</t>
  </si>
  <si>
    <t xml:space="preserve">  x_35</t>
  </si>
  <si>
    <t>$AL$2</t>
  </si>
  <si>
    <t xml:space="preserve">  x_36</t>
  </si>
  <si>
    <t>$AM$2</t>
  </si>
  <si>
    <t xml:space="preserve">  x_37</t>
  </si>
  <si>
    <t>$AN$2</t>
  </si>
  <si>
    <t xml:space="preserve">  x_38</t>
  </si>
  <si>
    <t>$AO$2</t>
  </si>
  <si>
    <t xml:space="preserve">  x_39</t>
  </si>
  <si>
    <t>$AP$2</t>
  </si>
  <si>
    <t xml:space="preserve">  x_40</t>
  </si>
  <si>
    <t>$AQ$2</t>
  </si>
  <si>
    <t xml:space="preserve">  x_41</t>
  </si>
  <si>
    <t>$AR$2</t>
  </si>
  <si>
    <t xml:space="preserve">  x_42</t>
  </si>
  <si>
    <t>$AS$2</t>
  </si>
  <si>
    <t xml:space="preserve">  x_43</t>
  </si>
  <si>
    <t>$AT$2</t>
  </si>
  <si>
    <t xml:space="preserve">  x_44</t>
  </si>
  <si>
    <t>$AU$2</t>
  </si>
  <si>
    <t xml:space="preserve">  x_45</t>
  </si>
  <si>
    <t>$AV$2</t>
  </si>
  <si>
    <t xml:space="preserve">  x_46</t>
  </si>
  <si>
    <t>$AW$2</t>
  </si>
  <si>
    <t xml:space="preserve">  x_47</t>
  </si>
  <si>
    <t>$AX$2</t>
  </si>
  <si>
    <t xml:space="preserve">  x_48</t>
  </si>
  <si>
    <t>$AY$2</t>
  </si>
  <si>
    <t xml:space="preserve">  x_49</t>
  </si>
  <si>
    <t>$AZ$2</t>
  </si>
  <si>
    <t xml:space="preserve">  x_50</t>
  </si>
  <si>
    <t>$BA$2</t>
  </si>
  <si>
    <t xml:space="preserve">  x_51</t>
  </si>
  <si>
    <t>$BB$2</t>
  </si>
  <si>
    <t xml:space="preserve">  x_52</t>
  </si>
  <si>
    <t>$BC$2</t>
  </si>
  <si>
    <t xml:space="preserve">  x_53</t>
  </si>
  <si>
    <t>$BD$2</t>
  </si>
  <si>
    <t xml:space="preserve">  x_54</t>
  </si>
  <si>
    <t>$BE$2</t>
  </si>
  <si>
    <t xml:space="preserve">  x_55</t>
  </si>
  <si>
    <t>$BF$2</t>
  </si>
  <si>
    <t xml:space="preserve">  x_56</t>
  </si>
  <si>
    <t>$BG$2</t>
  </si>
  <si>
    <t xml:space="preserve">  x_57</t>
  </si>
  <si>
    <t>$BH$2</t>
  </si>
  <si>
    <t xml:space="preserve">  x_58</t>
  </si>
  <si>
    <t>$BI$2</t>
  </si>
  <si>
    <t xml:space="preserve">  x_59</t>
  </si>
  <si>
    <t>$BJ$2</t>
  </si>
  <si>
    <t xml:space="preserve">  x_60</t>
  </si>
  <si>
    <t>$BK$2</t>
  </si>
  <si>
    <t xml:space="preserve">  x_61</t>
  </si>
  <si>
    <t>$BL$2</t>
  </si>
  <si>
    <t xml:space="preserve">  x_62</t>
  </si>
  <si>
    <t>$BM$2</t>
  </si>
  <si>
    <t xml:space="preserve">  x_63</t>
  </si>
  <si>
    <t>$BN$2</t>
  </si>
  <si>
    <t xml:space="preserve">  x_64</t>
  </si>
  <si>
    <t>$BO$2</t>
  </si>
  <si>
    <t xml:space="preserve">  x_65</t>
  </si>
  <si>
    <t>$BP$2</t>
  </si>
  <si>
    <t xml:space="preserve">  x_66</t>
  </si>
  <si>
    <t>$BQ$2</t>
  </si>
  <si>
    <t xml:space="preserve">  x_67</t>
  </si>
  <si>
    <t>$BR$2</t>
  </si>
  <si>
    <t xml:space="preserve">  x_68</t>
  </si>
  <si>
    <t>$BS$2</t>
  </si>
  <si>
    <t xml:space="preserve">  x_69</t>
  </si>
  <si>
    <t>$BT$2</t>
  </si>
  <si>
    <t xml:space="preserve">  x_70</t>
  </si>
  <si>
    <t>$BU$2</t>
  </si>
  <si>
    <t xml:space="preserve">  x_71</t>
  </si>
  <si>
    <t>$BV$2</t>
  </si>
  <si>
    <t xml:space="preserve">  x_72</t>
  </si>
  <si>
    <t>$BW$2</t>
  </si>
  <si>
    <t xml:space="preserve">  x_73</t>
  </si>
  <si>
    <t>$BX$2</t>
  </si>
  <si>
    <t xml:space="preserve">  x_74</t>
  </si>
  <si>
    <t>$BY$2</t>
  </si>
  <si>
    <t xml:space="preserve">  x_75</t>
  </si>
  <si>
    <t>$BZ$2</t>
  </si>
  <si>
    <t xml:space="preserve">  x_76</t>
  </si>
  <si>
    <t>$CA$2</t>
  </si>
  <si>
    <t xml:space="preserve">  x_77</t>
  </si>
  <si>
    <t>$CB$2</t>
  </si>
  <si>
    <t xml:space="preserve">  x_78</t>
  </si>
  <si>
    <t>$CC$2</t>
  </si>
  <si>
    <t xml:space="preserve">  x_79</t>
  </si>
  <si>
    <t>$CD$2</t>
  </si>
  <si>
    <t xml:space="preserve">  x_80</t>
  </si>
  <si>
    <t>$CE$2</t>
  </si>
  <si>
    <t xml:space="preserve">  x_81</t>
  </si>
  <si>
    <t>$CF$2</t>
  </si>
  <si>
    <t xml:space="preserve">  x_82</t>
  </si>
  <si>
    <t>$CG$2</t>
  </si>
  <si>
    <t xml:space="preserve">  x_83</t>
  </si>
  <si>
    <t>$CH$2</t>
  </si>
  <si>
    <t xml:space="preserve">  x_84</t>
  </si>
  <si>
    <t>$CI$2</t>
  </si>
  <si>
    <t xml:space="preserve">  x_85</t>
  </si>
  <si>
    <t>$CJ$2</t>
  </si>
  <si>
    <t xml:space="preserve">  x_86</t>
  </si>
  <si>
    <t>$CK$2</t>
  </si>
  <si>
    <t xml:space="preserve">  x_87</t>
  </si>
  <si>
    <t>$CL$2</t>
  </si>
  <si>
    <t xml:space="preserve">  x_88</t>
  </si>
  <si>
    <t>$CM$2</t>
  </si>
  <si>
    <t xml:space="preserve">  x_89</t>
  </si>
  <si>
    <t>$CN$2</t>
  </si>
  <si>
    <t xml:space="preserve">  x_90</t>
  </si>
  <si>
    <t>$CO$2</t>
  </si>
  <si>
    <t xml:space="preserve">  x_91</t>
  </si>
  <si>
    <t>$CP$2</t>
  </si>
  <si>
    <t xml:space="preserve">  x_92</t>
  </si>
  <si>
    <t>$CQ$2</t>
  </si>
  <si>
    <t xml:space="preserve">  x_93</t>
  </si>
  <si>
    <t>$CR$2</t>
  </si>
  <si>
    <t xml:space="preserve">  x_94</t>
  </si>
  <si>
    <t>$CS$2</t>
  </si>
  <si>
    <t xml:space="preserve">  x_95</t>
  </si>
  <si>
    <t>$CT$2</t>
  </si>
  <si>
    <t xml:space="preserve">  x_96</t>
  </si>
  <si>
    <t>$CU$2</t>
  </si>
  <si>
    <t xml:space="preserve">  x_97</t>
  </si>
  <si>
    <t>$CV$2</t>
  </si>
  <si>
    <t xml:space="preserve">  x_98</t>
  </si>
  <si>
    <t>$CW$2</t>
  </si>
  <si>
    <t xml:space="preserve">  x_99</t>
  </si>
  <si>
    <t>$CX$2</t>
  </si>
  <si>
    <t xml:space="preserve">  x_100</t>
  </si>
  <si>
    <t>$CY$2</t>
  </si>
  <si>
    <t xml:space="preserve">  x_101</t>
  </si>
  <si>
    <t>$CZ$2</t>
  </si>
  <si>
    <t xml:space="preserve">  x_102</t>
  </si>
  <si>
    <t>$DA$2</t>
  </si>
  <si>
    <t xml:space="preserve">  x_103</t>
  </si>
  <si>
    <t>$DB$2</t>
  </si>
  <si>
    <t xml:space="preserve">  x_104</t>
  </si>
  <si>
    <t>$DC$2</t>
  </si>
  <si>
    <t xml:space="preserve">  x_105</t>
  </si>
  <si>
    <t>$DD$2</t>
  </si>
  <si>
    <t xml:space="preserve">  x_106</t>
  </si>
  <si>
    <t>$DE$2</t>
  </si>
  <si>
    <t xml:space="preserve">  x_107</t>
  </si>
  <si>
    <t>$DF$2</t>
  </si>
  <si>
    <t xml:space="preserve">  x_108</t>
  </si>
  <si>
    <t>$DG$2</t>
  </si>
  <si>
    <t xml:space="preserve">  x_109</t>
  </si>
  <si>
    <t>$DH$2</t>
  </si>
  <si>
    <t xml:space="preserve">  x_110</t>
  </si>
  <si>
    <t>$DI$2</t>
  </si>
  <si>
    <t xml:space="preserve">  x_111</t>
  </si>
  <si>
    <t>$DJ$2</t>
  </si>
  <si>
    <t xml:space="preserve">  x_112</t>
  </si>
  <si>
    <t>$DK$2</t>
  </si>
  <si>
    <t xml:space="preserve">  x_113</t>
  </si>
  <si>
    <t>$DL$2</t>
  </si>
  <si>
    <t xml:space="preserve">  x_114</t>
  </si>
  <si>
    <t>$DM$2</t>
  </si>
  <si>
    <t xml:space="preserve">  x_115</t>
  </si>
  <si>
    <t>$DN$2</t>
  </si>
  <si>
    <t xml:space="preserve">  x_116</t>
  </si>
  <si>
    <t>$DO$2</t>
  </si>
  <si>
    <t xml:space="preserve">  x_117</t>
  </si>
  <si>
    <t>$DP$2</t>
  </si>
  <si>
    <t xml:space="preserve">  x_118</t>
  </si>
  <si>
    <t>$DQ$2</t>
  </si>
  <si>
    <t xml:space="preserve">  x_119</t>
  </si>
  <si>
    <t>$DR$2</t>
  </si>
  <si>
    <t xml:space="preserve">  x_120</t>
  </si>
  <si>
    <t>$DS$2</t>
  </si>
  <si>
    <t xml:space="preserve">  x_121</t>
  </si>
  <si>
    <t>$DT$2</t>
  </si>
  <si>
    <t xml:space="preserve">  x_122</t>
  </si>
  <si>
    <t>$DU$2</t>
  </si>
  <si>
    <t xml:space="preserve">  x_123</t>
  </si>
  <si>
    <t>$DV$2</t>
  </si>
  <si>
    <t xml:space="preserve">  x_124</t>
  </si>
  <si>
    <t>$DW$2</t>
  </si>
  <si>
    <t xml:space="preserve">  x_125</t>
  </si>
  <si>
    <t>$DX$2</t>
  </si>
  <si>
    <t xml:space="preserve">  x_126</t>
  </si>
  <si>
    <t>$DY$2</t>
  </si>
  <si>
    <t xml:space="preserve">  x_127</t>
  </si>
  <si>
    <t>$DZ$2</t>
  </si>
  <si>
    <t xml:space="preserve">  x_128</t>
  </si>
  <si>
    <t>$EA$2</t>
  </si>
  <si>
    <t xml:space="preserve">  x_129</t>
  </si>
  <si>
    <t>$EB$2</t>
  </si>
  <si>
    <t xml:space="preserve">  x_130</t>
  </si>
  <si>
    <t>$EC$2</t>
  </si>
  <si>
    <t xml:space="preserve">  x_131</t>
  </si>
  <si>
    <t>$ED$2</t>
  </si>
  <si>
    <t xml:space="preserve">  x_132</t>
  </si>
  <si>
    <t>$EE$2</t>
  </si>
  <si>
    <t xml:space="preserve">  x_133</t>
  </si>
  <si>
    <t>$EF$2</t>
  </si>
  <si>
    <t xml:space="preserve">  x_134</t>
  </si>
  <si>
    <t>$EG$2</t>
  </si>
  <si>
    <t xml:space="preserve">  x_135</t>
  </si>
  <si>
    <t>$EH$2</t>
  </si>
  <si>
    <t xml:space="preserve">  x_136</t>
  </si>
  <si>
    <t>$EI$2</t>
  </si>
  <si>
    <t xml:space="preserve">  x_137</t>
  </si>
  <si>
    <t>$EJ$2</t>
  </si>
  <si>
    <t xml:space="preserve">  x_138</t>
  </si>
  <si>
    <t>$EK$2</t>
  </si>
  <si>
    <t xml:space="preserve">  x_139</t>
  </si>
  <si>
    <t>$EL$2</t>
  </si>
  <si>
    <t xml:space="preserve">  x_140</t>
  </si>
  <si>
    <t>$EM$2</t>
  </si>
  <si>
    <t xml:space="preserve">  x_141</t>
  </si>
  <si>
    <t>$EN$2</t>
  </si>
  <si>
    <t xml:space="preserve">  x_142</t>
  </si>
  <si>
    <t>$EO$2</t>
  </si>
  <si>
    <t xml:space="preserve">  x_143</t>
  </si>
  <si>
    <t>$EP$2</t>
  </si>
  <si>
    <t xml:space="preserve">  x_144</t>
  </si>
  <si>
    <t>$EQ$2</t>
  </si>
  <si>
    <t xml:space="preserve">  x_145</t>
  </si>
  <si>
    <t>$ER$2</t>
  </si>
  <si>
    <t xml:space="preserve">  x_146</t>
  </si>
  <si>
    <t>$ES$2</t>
  </si>
  <si>
    <t xml:space="preserve">  x_147</t>
  </si>
  <si>
    <t>$ET$2</t>
  </si>
  <si>
    <t xml:space="preserve">  x_148</t>
  </si>
  <si>
    <t>$EU$2</t>
  </si>
  <si>
    <t xml:space="preserve">  x_149</t>
  </si>
  <si>
    <t>$EV$2</t>
  </si>
  <si>
    <t xml:space="preserve">  x_150</t>
  </si>
  <si>
    <t>$EW$2</t>
  </si>
  <si>
    <t xml:space="preserve">  x_151</t>
  </si>
  <si>
    <t>$EX$2</t>
  </si>
  <si>
    <t xml:space="preserve">  x_152</t>
  </si>
  <si>
    <t>$EY$2</t>
  </si>
  <si>
    <t xml:space="preserve">  x_153</t>
  </si>
  <si>
    <t>$EZ$2</t>
  </si>
  <si>
    <t xml:space="preserve">  x_154</t>
  </si>
  <si>
    <t>$FA$2</t>
  </si>
  <si>
    <t xml:space="preserve">  x_155</t>
  </si>
  <si>
    <t>$FB$2</t>
  </si>
  <si>
    <t xml:space="preserve">  x_156</t>
  </si>
  <si>
    <t>$FC$2</t>
  </si>
  <si>
    <t xml:space="preserve">  x_157</t>
  </si>
  <si>
    <t>$FD$2</t>
  </si>
  <si>
    <t xml:space="preserve">  x_158</t>
  </si>
  <si>
    <t>$FE$2</t>
  </si>
  <si>
    <t xml:space="preserve">  x_159</t>
  </si>
  <si>
    <t>$FF$2</t>
  </si>
  <si>
    <t xml:space="preserve">  x_160</t>
  </si>
  <si>
    <t>$FG$2</t>
  </si>
  <si>
    <t xml:space="preserve">  x_161</t>
  </si>
  <si>
    <t>$FH$2</t>
  </si>
  <si>
    <t xml:space="preserve">  x_162</t>
  </si>
  <si>
    <t>$FI$2</t>
  </si>
  <si>
    <t xml:space="preserve">  x_163</t>
  </si>
  <si>
    <t>$FJ$2</t>
  </si>
  <si>
    <t xml:space="preserve">  x_164</t>
  </si>
  <si>
    <t>$FK$2</t>
  </si>
  <si>
    <t xml:space="preserve">  x_165</t>
  </si>
  <si>
    <t>$FL$2</t>
  </si>
  <si>
    <t xml:space="preserve">  x_166</t>
  </si>
  <si>
    <t>$FM$2</t>
  </si>
  <si>
    <t xml:space="preserve">  x_167</t>
  </si>
  <si>
    <t>$FN$2</t>
  </si>
  <si>
    <t xml:space="preserve">  x_168</t>
  </si>
  <si>
    <t>$FO$2</t>
  </si>
  <si>
    <t xml:space="preserve">  x_169</t>
  </si>
  <si>
    <t>$FP$2</t>
  </si>
  <si>
    <t xml:space="preserve">  x_170</t>
  </si>
  <si>
    <t>$FQ$2</t>
  </si>
  <si>
    <t xml:space="preserve">  x_171</t>
  </si>
  <si>
    <t>$FR$2</t>
  </si>
  <si>
    <t xml:space="preserve">  x_172</t>
  </si>
  <si>
    <t>$FS$2</t>
  </si>
  <si>
    <t xml:space="preserve">  x_173</t>
  </si>
  <si>
    <t>$FT$2</t>
  </si>
  <si>
    <t xml:space="preserve">  x_174</t>
  </si>
  <si>
    <t>$FU$2</t>
  </si>
  <si>
    <t xml:space="preserve">  x_175</t>
  </si>
  <si>
    <t>$FV$2</t>
  </si>
  <si>
    <t xml:space="preserve">  x_176</t>
  </si>
  <si>
    <t>$FW$2</t>
  </si>
  <si>
    <t xml:space="preserve">  x_177</t>
  </si>
  <si>
    <t>$FX$2</t>
  </si>
  <si>
    <t xml:space="preserve">  x_178</t>
  </si>
  <si>
    <t>$FY$2</t>
  </si>
  <si>
    <t xml:space="preserve">  x_179</t>
  </si>
  <si>
    <t>$FZ$2</t>
  </si>
  <si>
    <t xml:space="preserve">  x_180</t>
  </si>
  <si>
    <t>$GA$2</t>
  </si>
  <si>
    <t xml:space="preserve">  x_181</t>
  </si>
  <si>
    <t>$GB$2</t>
  </si>
  <si>
    <t xml:space="preserve">  x_182</t>
  </si>
  <si>
    <t>$GC$2</t>
  </si>
  <si>
    <t xml:space="preserve">  x_183</t>
  </si>
  <si>
    <t>$GD$2</t>
  </si>
  <si>
    <t xml:space="preserve">  x_184</t>
  </si>
  <si>
    <t>$GE$2</t>
  </si>
  <si>
    <t xml:space="preserve">  x_185</t>
  </si>
  <si>
    <t>$GF$2</t>
  </si>
  <si>
    <t xml:space="preserve">  x_186</t>
  </si>
  <si>
    <t>$GG$2</t>
  </si>
  <si>
    <t xml:space="preserve">  x_187</t>
  </si>
  <si>
    <t>$GH$2</t>
  </si>
  <si>
    <t xml:space="preserve">  x_188</t>
  </si>
  <si>
    <t>$GI$2</t>
  </si>
  <si>
    <t xml:space="preserve">  x_189</t>
  </si>
  <si>
    <t>$GJ$2</t>
  </si>
  <si>
    <t xml:space="preserve">  x_190</t>
  </si>
  <si>
    <t>$GK$2</t>
  </si>
  <si>
    <t xml:space="preserve">  x_191</t>
  </si>
  <si>
    <t>$GL$2</t>
  </si>
  <si>
    <t xml:space="preserve">  x_192</t>
  </si>
  <si>
    <t>$GM$2</t>
  </si>
  <si>
    <t xml:space="preserve">  x_193</t>
  </si>
  <si>
    <t>$GN$2</t>
  </si>
  <si>
    <t xml:space="preserve">  x_194</t>
  </si>
  <si>
    <t>$GO$2</t>
  </si>
  <si>
    <t xml:space="preserve">  x_195</t>
  </si>
  <si>
    <t>$GP$2</t>
  </si>
  <si>
    <t xml:space="preserve">  x_196</t>
  </si>
  <si>
    <t>$GQ$2</t>
  </si>
  <si>
    <t xml:space="preserve">  x_197</t>
  </si>
  <si>
    <t>$GR$2</t>
  </si>
  <si>
    <t xml:space="preserve">  x_198</t>
  </si>
  <si>
    <t>$GS$2</t>
  </si>
  <si>
    <t xml:space="preserve">  x_199</t>
  </si>
  <si>
    <t>$GT$2</t>
  </si>
  <si>
    <t xml:space="preserve">  x_200</t>
  </si>
  <si>
    <t>$GV$6</t>
  </si>
  <si>
    <t>$GV$6&gt;=$GX$6</t>
  </si>
  <si>
    <t>Vinculante</t>
  </si>
  <si>
    <t>$GV$7</t>
  </si>
  <si>
    <t>$GV$7&gt;=$GX$7</t>
  </si>
  <si>
    <t>$GV$8</t>
  </si>
  <si>
    <t>$GV$8&gt;=$GX$8</t>
  </si>
  <si>
    <t>$GV$9</t>
  </si>
  <si>
    <t>$GV$9&gt;=$GX$9</t>
  </si>
  <si>
    <t>No vinculante</t>
  </si>
  <si>
    <t>$GV$10</t>
  </si>
  <si>
    <t>$GV$10&gt;=$GX$10</t>
  </si>
  <si>
    <t>$GV$11</t>
  </si>
  <si>
    <t>$GV$11&gt;=$GX$11</t>
  </si>
  <si>
    <t>$GV$12</t>
  </si>
  <si>
    <t>$GV$12&gt;=$GX$12</t>
  </si>
  <si>
    <t>$GV$13</t>
  </si>
  <si>
    <t>$GV$13&gt;=$GX$13</t>
  </si>
  <si>
    <t>$GV$14</t>
  </si>
  <si>
    <t>$GV$14&gt;=$GX$14</t>
  </si>
  <si>
    <t>$GV$15</t>
  </si>
  <si>
    <t>$GV$15&gt;=$GX$15</t>
  </si>
  <si>
    <t>$GV$16</t>
  </si>
  <si>
    <t>$GV$16&gt;=$GX$16</t>
  </si>
  <si>
    <t>$GV$17</t>
  </si>
  <si>
    <t>$GV$17&gt;=$GX$17</t>
  </si>
  <si>
    <t>$GV$18</t>
  </si>
  <si>
    <t>$GV$18&gt;=$GX$18</t>
  </si>
  <si>
    <t>$GV$19</t>
  </si>
  <si>
    <t>$GV$19&gt;=$GX$19</t>
  </si>
  <si>
    <t>$GV$20</t>
  </si>
  <si>
    <t>$GV$20&gt;=$GX$20</t>
  </si>
  <si>
    <t>$GV$21</t>
  </si>
  <si>
    <t>$GV$21&gt;=$GX$21</t>
  </si>
  <si>
    <t>$GV$22</t>
  </si>
  <si>
    <t>$GV$22&gt;=$GX$22</t>
  </si>
  <si>
    <t>$GV$23</t>
  </si>
  <si>
    <t>$GV$23&gt;=$GX$23</t>
  </si>
  <si>
    <t>$GV$24</t>
  </si>
  <si>
    <t>$GV$24&gt;=$GX$24</t>
  </si>
  <si>
    <t>$GV$25</t>
  </si>
  <si>
    <t>$GV$25&gt;=$GX$25</t>
  </si>
  <si>
    <t>$GV$26</t>
  </si>
  <si>
    <t>$GV$26&gt;=$GX$26</t>
  </si>
  <si>
    <t>$GV$27</t>
  </si>
  <si>
    <t>$GV$27&gt;=$GX$27</t>
  </si>
  <si>
    <t>$GV$28</t>
  </si>
  <si>
    <t>$GV$28&gt;=$GX$28</t>
  </si>
  <si>
    <t>$GV$29</t>
  </si>
  <si>
    <t>$GV$29&gt;=$GX$29</t>
  </si>
  <si>
    <t>$GV$30</t>
  </si>
  <si>
    <t>$GV$30&gt;=$GX$30</t>
  </si>
  <si>
    <t>$GV$31</t>
  </si>
  <si>
    <t>$GV$31&gt;=$GX$31</t>
  </si>
  <si>
    <t>$GV$32</t>
  </si>
  <si>
    <t>$GV$32&gt;=$GX$32</t>
  </si>
  <si>
    <t>$GV$33</t>
  </si>
  <si>
    <t>$GV$33&gt;=$GX$33</t>
  </si>
  <si>
    <t>$GV$34</t>
  </si>
  <si>
    <t>$GV$34&gt;=$GX$34</t>
  </si>
  <si>
    <t>$GV$35</t>
  </si>
  <si>
    <t>$GV$35&gt;=$GX$35</t>
  </si>
  <si>
    <t>$GV$36</t>
  </si>
  <si>
    <t>$GV$36&gt;=$GX$36</t>
  </si>
  <si>
    <t>$GV$37</t>
  </si>
  <si>
    <t>$GV$37&gt;=$GX$37</t>
  </si>
  <si>
    <t>$GV$38</t>
  </si>
  <si>
    <t>$GV$38&gt;=$GX$38</t>
  </si>
  <si>
    <t>$GV$39</t>
  </si>
  <si>
    <t>$GV$39&gt;=$GX$39</t>
  </si>
  <si>
    <t>$GV$40</t>
  </si>
  <si>
    <t>$GV$40&gt;=$GX$40</t>
  </si>
  <si>
    <t>$GV$41</t>
  </si>
  <si>
    <t>$GV$41&gt;=$GX$41</t>
  </si>
  <si>
    <t>$GV$42</t>
  </si>
  <si>
    <t>$GV$42&gt;=$GX$42</t>
  </si>
  <si>
    <t>$GV$43</t>
  </si>
  <si>
    <t>$GV$43&gt;=$GX$43</t>
  </si>
  <si>
    <t>$GV$44</t>
  </si>
  <si>
    <t>$GV$44&gt;=$GX$44</t>
  </si>
  <si>
    <t>$GV$45</t>
  </si>
  <si>
    <t>$GV$45&gt;=$GX$45</t>
  </si>
  <si>
    <t>$GV$46</t>
  </si>
  <si>
    <t>$GV$46&gt;=$GX$46</t>
  </si>
  <si>
    <t>$GV$47</t>
  </si>
  <si>
    <t>$GV$47&gt;=$GX$47</t>
  </si>
  <si>
    <t>$GV$48</t>
  </si>
  <si>
    <t>$GV$48&gt;=$GX$48</t>
  </si>
  <si>
    <t>$GV$49</t>
  </si>
  <si>
    <t>$GV$49&gt;=$GX$49</t>
  </si>
  <si>
    <t>$GV$50</t>
  </si>
  <si>
    <t>$GV$50&gt;=$GX$50</t>
  </si>
  <si>
    <t>$GV$51</t>
  </si>
  <si>
    <t>$GV$51&gt;=$GX$51</t>
  </si>
  <si>
    <t>$GV$52</t>
  </si>
  <si>
    <t>$GV$52&gt;=$GX$52</t>
  </si>
  <si>
    <t>$GV$53</t>
  </si>
  <si>
    <t>$GV$53&gt;=$GX$53</t>
  </si>
  <si>
    <t>$GV$54</t>
  </si>
  <si>
    <t>$GV$54&gt;=$GX$54</t>
  </si>
  <si>
    <t>$GV$55</t>
  </si>
  <si>
    <t>$GV$55&gt;=$GX$55</t>
  </si>
  <si>
    <t>$C$2&gt;=$C$57</t>
  </si>
  <si>
    <t>$D$2&gt;=$D$57</t>
  </si>
  <si>
    <t>$E$2&gt;=$E$57</t>
  </si>
  <si>
    <t>$F$2&gt;=$F$57</t>
  </si>
  <si>
    <t>$G$2&gt;=$G$57</t>
  </si>
  <si>
    <t>$H$2&gt;=$H$57</t>
  </si>
  <si>
    <t>$I$2&gt;=$I$57</t>
  </si>
  <si>
    <t>$J$2&gt;=$J$57</t>
  </si>
  <si>
    <t>$K$2&gt;=$K$57</t>
  </si>
  <si>
    <t>$L$2&gt;=$L$57</t>
  </si>
  <si>
    <t>$M$2&gt;=$M$57</t>
  </si>
  <si>
    <t>$N$2&gt;=$N$57</t>
  </si>
  <si>
    <t>$O$2&gt;=$O$57</t>
  </si>
  <si>
    <t>$P$2&gt;=$P$57</t>
  </si>
  <si>
    <t>$Q$2&gt;=$Q$57</t>
  </si>
  <si>
    <t>$R$2&gt;=$R$57</t>
  </si>
  <si>
    <t>$S$2&gt;=$S$57</t>
  </si>
  <si>
    <t>$T$2&gt;=$T$57</t>
  </si>
  <si>
    <t>$U$2&gt;=$U$57</t>
  </si>
  <si>
    <t>$V$2&gt;=$V$57</t>
  </si>
  <si>
    <t>$W$2&gt;=$W$57</t>
  </si>
  <si>
    <t>$X$2&gt;=$X$57</t>
  </si>
  <si>
    <t>$Y$2&gt;=$Y$57</t>
  </si>
  <si>
    <t>$Z$2&gt;=$Z$57</t>
  </si>
  <si>
    <t>$AA$2&gt;=$AA$57</t>
  </si>
  <si>
    <t>$AB$2&gt;=$AB$57</t>
  </si>
  <si>
    <t>$AC$2&gt;=$AC$57</t>
  </si>
  <si>
    <t>$AD$2&gt;=$AD$57</t>
  </si>
  <si>
    <t>$AE$2&gt;=$AE$57</t>
  </si>
  <si>
    <t>$AF$2&gt;=$AF$57</t>
  </si>
  <si>
    <t>$AG$2&gt;=$AG$57</t>
  </si>
  <si>
    <t>$AH$2&gt;=$AH$57</t>
  </si>
  <si>
    <t>$AI$2&gt;=$AI$57</t>
  </si>
  <si>
    <t>$AJ$2&gt;=$AJ$57</t>
  </si>
  <si>
    <t>$AK$2&gt;=$AK$57</t>
  </si>
  <si>
    <t>$AL$2&gt;=$AL$57</t>
  </si>
  <si>
    <t>$AM$2&gt;=$AM$57</t>
  </si>
  <si>
    <t>$AN$2&gt;=$AN$57</t>
  </si>
  <si>
    <t>$AO$2&gt;=$AO$57</t>
  </si>
  <si>
    <t>$AP$2&gt;=$AP$57</t>
  </si>
  <si>
    <t>$AQ$2&gt;=$AQ$57</t>
  </si>
  <si>
    <t>$AR$2&gt;=$AR$57</t>
  </si>
  <si>
    <t>$AS$2&gt;=$AS$57</t>
  </si>
  <si>
    <t>$AT$2&gt;=$AT$57</t>
  </si>
  <si>
    <t>$AU$2&gt;=$AU$57</t>
  </si>
  <si>
    <t>$AV$2&gt;=$AV$57</t>
  </si>
  <si>
    <t>$AW$2&gt;=$AW$57</t>
  </si>
  <si>
    <t>$AX$2&gt;=$AX$57</t>
  </si>
  <si>
    <t>$AY$2&gt;=$AY$57</t>
  </si>
  <si>
    <t>$AZ$2&gt;=$AZ$57</t>
  </si>
  <si>
    <t>$BA$2&gt;=$BA$57</t>
  </si>
  <si>
    <t>$BB$2&gt;=$BB$57</t>
  </si>
  <si>
    <t>$BC$2&gt;=$BC$57</t>
  </si>
  <si>
    <t>$BD$2&gt;=$BD$57</t>
  </si>
  <si>
    <t>$BE$2&gt;=$BE$57</t>
  </si>
  <si>
    <t>$BF$2&gt;=$BF$57</t>
  </si>
  <si>
    <t>$BG$2&gt;=$BG$57</t>
  </si>
  <si>
    <t>$BH$2&gt;=$BH$57</t>
  </si>
  <si>
    <t>$BI$2&gt;=$BI$57</t>
  </si>
  <si>
    <t>$BJ$2&gt;=$BJ$57</t>
  </si>
  <si>
    <t>$BK$2&gt;=$BK$57</t>
  </si>
  <si>
    <t>$BL$2&gt;=$BL$57</t>
  </si>
  <si>
    <t>$BM$2&gt;=$BM$57</t>
  </si>
  <si>
    <t>$BN$2&gt;=$BN$57</t>
  </si>
  <si>
    <t>$BO$2&gt;=$BO$57</t>
  </si>
  <si>
    <t>$BP$2&gt;=$BP$57</t>
  </si>
  <si>
    <t>$BQ$2&gt;=$BQ$57</t>
  </si>
  <si>
    <t>$BR$2&gt;=$BR$57</t>
  </si>
  <si>
    <t>$BS$2&gt;=$BS$57</t>
  </si>
  <si>
    <t>$BT$2&gt;=$BT$57</t>
  </si>
  <si>
    <t>$BU$2&gt;=$BU$57</t>
  </si>
  <si>
    <t>$BV$2&gt;=$BV$57</t>
  </si>
  <si>
    <t>$BW$2&gt;=$BW$57</t>
  </si>
  <si>
    <t>$BX$2&gt;=$BX$57</t>
  </si>
  <si>
    <t>$BY$2&gt;=$BY$57</t>
  </si>
  <si>
    <t>$BZ$2&gt;=$BZ$57</t>
  </si>
  <si>
    <t>$CA$2&gt;=$CA$57</t>
  </si>
  <si>
    <t>$CB$2&gt;=$CB$57</t>
  </si>
  <si>
    <t>$CC$2&gt;=$CC$57</t>
  </si>
  <si>
    <t>$CD$2&gt;=$CD$57</t>
  </si>
  <si>
    <t>$CE$2&gt;=$CE$57</t>
  </si>
  <si>
    <t>$CF$2&gt;=$CF$57</t>
  </si>
  <si>
    <t>$CG$2&gt;=$CG$57</t>
  </si>
  <si>
    <t>$CH$2&gt;=$CH$57</t>
  </si>
  <si>
    <t>$CI$2&gt;=$CI$57</t>
  </si>
  <si>
    <t>$CJ$2&gt;=$CJ$57</t>
  </si>
  <si>
    <t>$CK$2&gt;=$CK$57</t>
  </si>
  <si>
    <t>$CL$2&gt;=$CL$57</t>
  </si>
  <si>
    <t>$CM$2&gt;=$CM$57</t>
  </si>
  <si>
    <t>$CN$2&gt;=$CN$57</t>
  </si>
  <si>
    <t>$CO$2&gt;=$CO$57</t>
  </si>
  <si>
    <t>$CP$2&gt;=$CP$57</t>
  </si>
  <si>
    <t>$CQ$2&gt;=$CQ$57</t>
  </si>
  <si>
    <t>$CR$2&gt;=$CR$57</t>
  </si>
  <si>
    <t>$CS$2&gt;=$CS$57</t>
  </si>
  <si>
    <t>$CT$2&gt;=$CT$57</t>
  </si>
  <si>
    <t>$CU$2&gt;=$CU$57</t>
  </si>
  <si>
    <t>$CV$2&gt;=$CV$57</t>
  </si>
  <si>
    <t>$CW$2&gt;=$CW$57</t>
  </si>
  <si>
    <t>$CX$2&gt;=$CX$57</t>
  </si>
  <si>
    <t>$CY$2&gt;=$CY$57</t>
  </si>
  <si>
    <t>$CZ$2&gt;=$CZ$57</t>
  </si>
  <si>
    <t>$DA$2&gt;=$DA$57</t>
  </si>
  <si>
    <t>$DB$2&gt;=$DB$57</t>
  </si>
  <si>
    <t>$DC$2&gt;=$DC$57</t>
  </si>
  <si>
    <t>$DD$2&gt;=$DD$57</t>
  </si>
  <si>
    <t>$DE$2&gt;=$DE$57</t>
  </si>
  <si>
    <t>$DF$2&gt;=$DF$57</t>
  </si>
  <si>
    <t>$DG$2&gt;=$DG$57</t>
  </si>
  <si>
    <t>$DH$2&gt;=$DH$57</t>
  </si>
  <si>
    <t>$DI$2&gt;=$DI$57</t>
  </si>
  <si>
    <t>$DJ$2&gt;=$DJ$57</t>
  </si>
  <si>
    <t>$DK$2&gt;=$DK$57</t>
  </si>
  <si>
    <t>$DL$2&gt;=$DL$57</t>
  </si>
  <si>
    <t>$DM$2&gt;=$DM$57</t>
  </si>
  <si>
    <t>$DN$2&gt;=$DN$57</t>
  </si>
  <si>
    <t>$DO$2&gt;=$DO$57</t>
  </si>
  <si>
    <t>$DP$2&gt;=$DP$57</t>
  </si>
  <si>
    <t>$DQ$2&gt;=$DQ$57</t>
  </si>
  <si>
    <t>$DR$2&gt;=$DR$57</t>
  </si>
  <si>
    <t>$DS$2&gt;=$DS$57</t>
  </si>
  <si>
    <t>$DT$2&gt;=$DT$57</t>
  </si>
  <si>
    <t>$DU$2&gt;=$DU$57</t>
  </si>
  <si>
    <t>$DV$2&gt;=$DV$57</t>
  </si>
  <si>
    <t>$DW$2&gt;=$DW$57</t>
  </si>
  <si>
    <t>$DX$2&gt;=$DX$57</t>
  </si>
  <si>
    <t>$DY$2&gt;=$DY$57</t>
  </si>
  <si>
    <t>$DZ$2&gt;=$DZ$57</t>
  </si>
  <si>
    <t>$EA$2&gt;=$EA$57</t>
  </si>
  <si>
    <t>$EB$2&gt;=$EB$57</t>
  </si>
  <si>
    <t>$EC$2&gt;=$EC$57</t>
  </si>
  <si>
    <t>$ED$2&gt;=$ED$57</t>
  </si>
  <si>
    <t>$EE$2&gt;=$EE$57</t>
  </si>
  <si>
    <t>$EF$2&gt;=$EF$57</t>
  </si>
  <si>
    <t>$EG$2&gt;=$EG$57</t>
  </si>
  <si>
    <t>$EH$2&gt;=$EH$57</t>
  </si>
  <si>
    <t>$EI$2&gt;=$EI$57</t>
  </si>
  <si>
    <t>$EJ$2&gt;=$EJ$57</t>
  </si>
  <si>
    <t>$EK$2&gt;=$EK$57</t>
  </si>
  <si>
    <t>$EL$2&gt;=$EL$57</t>
  </si>
  <si>
    <t>$EM$2&gt;=$EM$57</t>
  </si>
  <si>
    <t>$EN$2&gt;=$EN$57</t>
  </si>
  <si>
    <t>$EO$2&gt;=$EO$57</t>
  </si>
  <si>
    <t>$EP$2&gt;=$EP$57</t>
  </si>
  <si>
    <t>$EQ$2&gt;=$EQ$57</t>
  </si>
  <si>
    <t>$ER$2&gt;=$ER$57</t>
  </si>
  <si>
    <t>$ES$2&gt;=$ES$57</t>
  </si>
  <si>
    <t>$ET$2&gt;=$ET$57</t>
  </si>
  <si>
    <t>$EU$2&gt;=$EU$57</t>
  </si>
  <si>
    <t>$EV$2&gt;=$EV$57</t>
  </si>
  <si>
    <t>$EW$2&gt;=$EW$57</t>
  </si>
  <si>
    <t>$EX$2&gt;=$EX$57</t>
  </si>
  <si>
    <t>$EY$2&gt;=$EY$57</t>
  </si>
  <si>
    <t>$EZ$2&gt;=$EZ$57</t>
  </si>
  <si>
    <t>$FA$2&gt;=$FA$57</t>
  </si>
  <si>
    <t>$FB$2&gt;=$FB$57</t>
  </si>
  <si>
    <t>$FC$2&gt;=$FC$57</t>
  </si>
  <si>
    <t>$FD$2&gt;=$FD$57</t>
  </si>
  <si>
    <t>$FE$2&gt;=$FE$57</t>
  </si>
  <si>
    <t>$FF$2&gt;=$FF$57</t>
  </si>
  <si>
    <t>$FG$2&gt;=$FG$57</t>
  </si>
  <si>
    <t>$FH$2&gt;=$FH$57</t>
  </si>
  <si>
    <t>$FI$2&gt;=$FI$57</t>
  </si>
  <si>
    <t>$FJ$2&gt;=$FJ$57</t>
  </si>
  <si>
    <t>$FK$2&gt;=$FK$57</t>
  </si>
  <si>
    <t>$FL$2&gt;=$FL$57</t>
  </si>
  <si>
    <t>$FM$2&gt;=$FM$57</t>
  </si>
  <si>
    <t>$FN$2&gt;=$FN$57</t>
  </si>
  <si>
    <t>$FO$2&gt;=$FO$57</t>
  </si>
  <si>
    <t>$FP$2&gt;=$FP$57</t>
  </si>
  <si>
    <t>$FQ$2&gt;=$FQ$57</t>
  </si>
  <si>
    <t>$FR$2&gt;=$FR$57</t>
  </si>
  <si>
    <t>$FS$2&gt;=$FS$57</t>
  </si>
  <si>
    <t>$FT$2&gt;=$FT$57</t>
  </si>
  <si>
    <t>$FU$2&gt;=$FU$57</t>
  </si>
  <si>
    <t>$FV$2&gt;=$FV$57</t>
  </si>
  <si>
    <t>$FW$2&gt;=$FW$57</t>
  </si>
  <si>
    <t>$FX$2&gt;=$FX$57</t>
  </si>
  <si>
    <t>$FY$2&gt;=$FY$57</t>
  </si>
  <si>
    <t>$FZ$2&gt;=$FZ$57</t>
  </si>
  <si>
    <t>$GA$2&gt;=$GA$57</t>
  </si>
  <si>
    <t>$GB$2&gt;=$GB$57</t>
  </si>
  <si>
    <t>$GC$2&gt;=$GC$57</t>
  </si>
  <si>
    <t>$GD$2&gt;=$GD$57</t>
  </si>
  <si>
    <t>$GE$2&gt;=$GE$57</t>
  </si>
  <si>
    <t>$GF$2&gt;=$GF$57</t>
  </si>
  <si>
    <t>$GG$2&gt;=$GG$57</t>
  </si>
  <si>
    <t>$GH$2&gt;=$GH$57</t>
  </si>
  <si>
    <t>$GI$2&gt;=$GI$57</t>
  </si>
  <si>
    <t>$GJ$2&gt;=$GJ$57</t>
  </si>
  <si>
    <t>$GK$2&gt;=$GK$57</t>
  </si>
  <si>
    <t>$GL$2&gt;=$GL$57</t>
  </si>
  <si>
    <t>$GM$2&gt;=$GM$57</t>
  </si>
  <si>
    <t>$GN$2&gt;=$GN$57</t>
  </si>
  <si>
    <t>$GO$2&gt;=$GO$57</t>
  </si>
  <si>
    <t>$GP$2&gt;=$GP$57</t>
  </si>
  <si>
    <t>$GQ$2&gt;=$GQ$57</t>
  </si>
  <si>
    <t>$GR$2&gt;=$GR$57</t>
  </si>
  <si>
    <t>$GS$2&gt;=$GS$57</t>
  </si>
  <si>
    <t>$GT$2&gt;=$GT$57</t>
  </si>
  <si>
    <t>$C$2&lt;=$C$58</t>
  </si>
  <si>
    <t>$D$2&lt;=$D$58</t>
  </si>
  <si>
    <t>$E$2&lt;=$E$58</t>
  </si>
  <si>
    <t>$F$2&lt;=$F$58</t>
  </si>
  <si>
    <t>$G$2&lt;=$G$58</t>
  </si>
  <si>
    <t>$H$2&lt;=$H$58</t>
  </si>
  <si>
    <t>$I$2&lt;=$I$58</t>
  </si>
  <si>
    <t>$J$2&lt;=$J$58</t>
  </si>
  <si>
    <t>$K$2&lt;=$K$58</t>
  </si>
  <si>
    <t>$L$2&lt;=$L$58</t>
  </si>
  <si>
    <t>$M$2&lt;=$M$58</t>
  </si>
  <si>
    <t>$N$2&lt;=$N$58</t>
  </si>
  <si>
    <t>$O$2&lt;=$O$58</t>
  </si>
  <si>
    <t>$P$2&lt;=$P$58</t>
  </si>
  <si>
    <t>$Q$2&lt;=$Q$58</t>
  </si>
  <si>
    <t>$R$2&lt;=$R$58</t>
  </si>
  <si>
    <t>$S$2&lt;=$S$58</t>
  </si>
  <si>
    <t>$T$2&lt;=$T$58</t>
  </si>
  <si>
    <t>$U$2&lt;=$U$58</t>
  </si>
  <si>
    <t>$V$2&lt;=$V$58</t>
  </si>
  <si>
    <t>$W$2&lt;=$W$58</t>
  </si>
  <si>
    <t>$X$2&lt;=$X$58</t>
  </si>
  <si>
    <t>$Y$2&lt;=$Y$58</t>
  </si>
  <si>
    <t>$Z$2&lt;=$Z$58</t>
  </si>
  <si>
    <t>$AA$2&lt;=$AA$58</t>
  </si>
  <si>
    <t>$AB$2&lt;=$AB$58</t>
  </si>
  <si>
    <t>$AC$2&lt;=$AC$58</t>
  </si>
  <si>
    <t>$AD$2&lt;=$AD$58</t>
  </si>
  <si>
    <t>$AE$2&lt;=$AE$58</t>
  </si>
  <si>
    <t>$AF$2&lt;=$AF$58</t>
  </si>
  <si>
    <t>$AG$2&lt;=$AG$58</t>
  </si>
  <si>
    <t>$AH$2&lt;=$AH$58</t>
  </si>
  <si>
    <t>$AI$2&lt;=$AI$58</t>
  </si>
  <si>
    <t>$AJ$2&lt;=$AJ$58</t>
  </si>
  <si>
    <t>$AK$2&lt;=$AK$58</t>
  </si>
  <si>
    <t>$AL$2&lt;=$AL$58</t>
  </si>
  <si>
    <t>$AM$2&lt;=$AM$58</t>
  </si>
  <si>
    <t>$AN$2&lt;=$AN$58</t>
  </si>
  <si>
    <t>$AO$2&lt;=$AO$58</t>
  </si>
  <si>
    <t>$AP$2&lt;=$AP$58</t>
  </si>
  <si>
    <t>$AQ$2&lt;=$AQ$58</t>
  </si>
  <si>
    <t>$AR$2&lt;=$AR$58</t>
  </si>
  <si>
    <t>$AS$2&lt;=$AS$58</t>
  </si>
  <si>
    <t>$AT$2&lt;=$AT$58</t>
  </si>
  <si>
    <t>$AU$2&lt;=$AU$58</t>
  </si>
  <si>
    <t>$AV$2&lt;=$AV$58</t>
  </si>
  <si>
    <t>$AW$2&lt;=$AW$58</t>
  </si>
  <si>
    <t>$AX$2&lt;=$AX$58</t>
  </si>
  <si>
    <t>$AY$2&lt;=$AY$58</t>
  </si>
  <si>
    <t>$AZ$2&lt;=$AZ$58</t>
  </si>
  <si>
    <t>$BA$2&lt;=$BA$58</t>
  </si>
  <si>
    <t>$BB$2&lt;=$BB$58</t>
  </si>
  <si>
    <t>$BC$2&lt;=$BC$58</t>
  </si>
  <si>
    <t>$BD$2&lt;=$BD$58</t>
  </si>
  <si>
    <t>$BE$2&lt;=$BE$58</t>
  </si>
  <si>
    <t>$BF$2&lt;=$BF$58</t>
  </si>
  <si>
    <t>$BG$2&lt;=$BG$58</t>
  </si>
  <si>
    <t>$BH$2&lt;=$BH$58</t>
  </si>
  <si>
    <t>$BI$2&lt;=$BI$58</t>
  </si>
  <si>
    <t>$BJ$2&lt;=$BJ$58</t>
  </si>
  <si>
    <t>$BK$2&lt;=$BK$58</t>
  </si>
  <si>
    <t>$BL$2&lt;=$BL$58</t>
  </si>
  <si>
    <t>$BM$2&lt;=$BM$58</t>
  </si>
  <si>
    <t>$BN$2&lt;=$BN$58</t>
  </si>
  <si>
    <t>$BO$2&lt;=$BO$58</t>
  </si>
  <si>
    <t>$BP$2&lt;=$BP$58</t>
  </si>
  <si>
    <t>$BQ$2&lt;=$BQ$58</t>
  </si>
  <si>
    <t>$BR$2&lt;=$BR$58</t>
  </si>
  <si>
    <t>$BS$2&lt;=$BS$58</t>
  </si>
  <si>
    <t>$BT$2&lt;=$BT$58</t>
  </si>
  <si>
    <t>$BU$2&lt;=$BU$58</t>
  </si>
  <si>
    <t>$BV$2&lt;=$BV$58</t>
  </si>
  <si>
    <t>$BW$2&lt;=$BW$58</t>
  </si>
  <si>
    <t>$BX$2&lt;=$BX$58</t>
  </si>
  <si>
    <t>$BY$2&lt;=$BY$58</t>
  </si>
  <si>
    <t>$BZ$2&lt;=$BZ$58</t>
  </si>
  <si>
    <t>$CA$2&lt;=$CA$58</t>
  </si>
  <si>
    <t>$CB$2&lt;=$CB$58</t>
  </si>
  <si>
    <t>$CC$2&lt;=$CC$58</t>
  </si>
  <si>
    <t>$CD$2&lt;=$CD$58</t>
  </si>
  <si>
    <t>$CE$2&lt;=$CE$58</t>
  </si>
  <si>
    <t>$CF$2&lt;=$CF$58</t>
  </si>
  <si>
    <t>$CG$2&lt;=$CG$58</t>
  </si>
  <si>
    <t>$CH$2&lt;=$CH$58</t>
  </si>
  <si>
    <t>$CI$2&lt;=$CI$58</t>
  </si>
  <si>
    <t>$CJ$2&lt;=$CJ$58</t>
  </si>
  <si>
    <t>$CK$2&lt;=$CK$58</t>
  </si>
  <si>
    <t>$CL$2&lt;=$CL$58</t>
  </si>
  <si>
    <t>$CM$2&lt;=$CM$58</t>
  </si>
  <si>
    <t>$CN$2&lt;=$CN$58</t>
  </si>
  <si>
    <t>$CO$2&lt;=$CO$58</t>
  </si>
  <si>
    <t>$CP$2&lt;=$CP$58</t>
  </si>
  <si>
    <t>$CQ$2&lt;=$CQ$58</t>
  </si>
  <si>
    <t>$CR$2&lt;=$CR$58</t>
  </si>
  <si>
    <t>$CS$2&lt;=$CS$58</t>
  </si>
  <si>
    <t>$CT$2&lt;=$CT$58</t>
  </si>
  <si>
    <t>$CU$2&lt;=$CU$58</t>
  </si>
  <si>
    <t>$CV$2&lt;=$CV$58</t>
  </si>
  <si>
    <t>$CW$2&lt;=$CW$58</t>
  </si>
  <si>
    <t>$CX$2&lt;=$CX$58</t>
  </si>
  <si>
    <t>$CY$2&lt;=$CY$58</t>
  </si>
  <si>
    <t>$CZ$2&lt;=$CZ$58</t>
  </si>
  <si>
    <t>$DA$2&lt;=$DA$58</t>
  </si>
  <si>
    <t>$DB$2&lt;=$DB$58</t>
  </si>
  <si>
    <t>$DC$2&lt;=$DC$58</t>
  </si>
  <si>
    <t>$DD$2&lt;=$DD$58</t>
  </si>
  <si>
    <t>$DE$2&lt;=$DE$58</t>
  </si>
  <si>
    <t>$DF$2&lt;=$DF$58</t>
  </si>
  <si>
    <t>$DG$2&lt;=$DG$58</t>
  </si>
  <si>
    <t>$DH$2&lt;=$DH$58</t>
  </si>
  <si>
    <t>$DI$2&lt;=$DI$58</t>
  </si>
  <si>
    <t>$DJ$2&lt;=$DJ$58</t>
  </si>
  <si>
    <t>$DK$2&lt;=$DK$58</t>
  </si>
  <si>
    <t>$DL$2&lt;=$DL$58</t>
  </si>
  <si>
    <t>$DM$2&lt;=$DM$58</t>
  </si>
  <si>
    <t>$DN$2&lt;=$DN$58</t>
  </si>
  <si>
    <t>$DO$2&lt;=$DO$58</t>
  </si>
  <si>
    <t>$DP$2&lt;=$DP$58</t>
  </si>
  <si>
    <t>$DQ$2&lt;=$DQ$58</t>
  </si>
  <si>
    <t>$DR$2&lt;=$DR$58</t>
  </si>
  <si>
    <t>$DS$2&lt;=$DS$58</t>
  </si>
  <si>
    <t>$DT$2&lt;=$DT$58</t>
  </si>
  <si>
    <t>$DU$2&lt;=$DU$58</t>
  </si>
  <si>
    <t>$DV$2&lt;=$DV$58</t>
  </si>
  <si>
    <t>$DW$2&lt;=$DW$58</t>
  </si>
  <si>
    <t>$DX$2&lt;=$DX$58</t>
  </si>
  <si>
    <t>$DY$2&lt;=$DY$58</t>
  </si>
  <si>
    <t>$DZ$2&lt;=$DZ$58</t>
  </si>
  <si>
    <t>$EA$2&lt;=$EA$58</t>
  </si>
  <si>
    <t>$EB$2&lt;=$EB$58</t>
  </si>
  <si>
    <t>$EC$2&lt;=$EC$58</t>
  </si>
  <si>
    <t>$ED$2&lt;=$ED$58</t>
  </si>
  <si>
    <t>$EE$2&lt;=$EE$58</t>
  </si>
  <si>
    <t>$EF$2&lt;=$EF$58</t>
  </si>
  <si>
    <t>$EG$2&lt;=$EG$58</t>
  </si>
  <si>
    <t>$EH$2&lt;=$EH$58</t>
  </si>
  <si>
    <t>$EI$2&lt;=$EI$58</t>
  </si>
  <si>
    <t>$EJ$2&lt;=$EJ$58</t>
  </si>
  <si>
    <t>$EK$2&lt;=$EK$58</t>
  </si>
  <si>
    <t>$EL$2&lt;=$EL$58</t>
  </si>
  <si>
    <t>$EM$2&lt;=$EM$58</t>
  </si>
  <si>
    <t>$EN$2&lt;=$EN$58</t>
  </si>
  <si>
    <t>$EO$2&lt;=$EO$58</t>
  </si>
  <si>
    <t>$EP$2&lt;=$EP$58</t>
  </si>
  <si>
    <t>$EQ$2&lt;=$EQ$58</t>
  </si>
  <si>
    <t>$ER$2&lt;=$ER$58</t>
  </si>
  <si>
    <t>$ES$2&lt;=$ES$58</t>
  </si>
  <si>
    <t>$ET$2&lt;=$ET$58</t>
  </si>
  <si>
    <t>$EU$2&lt;=$EU$58</t>
  </si>
  <si>
    <t>$EV$2&lt;=$EV$58</t>
  </si>
  <si>
    <t>$EW$2&lt;=$EW$58</t>
  </si>
  <si>
    <t>$EX$2&lt;=$EX$58</t>
  </si>
  <si>
    <t>$EY$2&lt;=$EY$58</t>
  </si>
  <si>
    <t>$EZ$2&lt;=$EZ$58</t>
  </si>
  <si>
    <t>$FA$2&lt;=$FA$58</t>
  </si>
  <si>
    <t>$FB$2&lt;=$FB$58</t>
  </si>
  <si>
    <t>$FC$2&lt;=$FC$58</t>
  </si>
  <si>
    <t>$FD$2&lt;=$FD$58</t>
  </si>
  <si>
    <t>$FE$2&lt;=$FE$58</t>
  </si>
  <si>
    <t>$FF$2&lt;=$FF$58</t>
  </si>
  <si>
    <t>$FG$2&lt;=$FG$58</t>
  </si>
  <si>
    <t>$FH$2&lt;=$FH$58</t>
  </si>
  <si>
    <t>$FI$2&lt;=$FI$58</t>
  </si>
  <si>
    <t>$FJ$2&lt;=$FJ$58</t>
  </si>
  <si>
    <t>$FK$2&lt;=$FK$58</t>
  </si>
  <si>
    <t>$FL$2&lt;=$FL$58</t>
  </si>
  <si>
    <t>$FM$2&lt;=$FM$58</t>
  </si>
  <si>
    <t>$FN$2&lt;=$FN$58</t>
  </si>
  <si>
    <t>$FO$2&lt;=$FO$58</t>
  </si>
  <si>
    <t>$FP$2&lt;=$FP$58</t>
  </si>
  <si>
    <t>$FQ$2&lt;=$FQ$58</t>
  </si>
  <si>
    <t>$FR$2&lt;=$FR$58</t>
  </si>
  <si>
    <t>$FS$2&lt;=$FS$58</t>
  </si>
  <si>
    <t>$FT$2&lt;=$FT$58</t>
  </si>
  <si>
    <t>$FU$2&lt;=$FU$58</t>
  </si>
  <si>
    <t>$FV$2&lt;=$FV$58</t>
  </si>
  <si>
    <t>$FW$2&lt;=$FW$58</t>
  </si>
  <si>
    <t>$FX$2&lt;=$FX$58</t>
  </si>
  <si>
    <t>$FY$2&lt;=$FY$58</t>
  </si>
  <si>
    <t>$FZ$2&lt;=$FZ$58</t>
  </si>
  <si>
    <t>$GA$2&lt;=$GA$58</t>
  </si>
  <si>
    <t>$GB$2&lt;=$GB$58</t>
  </si>
  <si>
    <t>$GC$2&lt;=$GC$58</t>
  </si>
  <si>
    <t>$GD$2&lt;=$GD$58</t>
  </si>
  <si>
    <t>$GE$2&lt;=$GE$58</t>
  </si>
  <si>
    <t>$GF$2&lt;=$GF$58</t>
  </si>
  <si>
    <t>$GG$2&lt;=$GG$58</t>
  </si>
  <si>
    <t>$GH$2&lt;=$GH$58</t>
  </si>
  <si>
    <t>$GI$2&lt;=$GI$58</t>
  </si>
  <si>
    <t>$GJ$2&lt;=$GJ$58</t>
  </si>
  <si>
    <t>$GK$2&lt;=$GK$58</t>
  </si>
  <si>
    <t>$GL$2&lt;=$GL$58</t>
  </si>
  <si>
    <t>$GM$2&lt;=$GM$58</t>
  </si>
  <si>
    <t>$GN$2&lt;=$GN$58</t>
  </si>
  <si>
    <t>$GO$2&lt;=$GO$58</t>
  </si>
  <si>
    <t>$GP$2&lt;=$GP$58</t>
  </si>
  <si>
    <t>$GQ$2&lt;=$GQ$58</t>
  </si>
  <si>
    <t>$GR$2&lt;=$GR$58</t>
  </si>
  <si>
    <t>$GS$2&lt;=$GS$58</t>
  </si>
  <si>
    <t>$GT$2&lt;=$GT$58</t>
  </si>
  <si>
    <t>$E$2=Binario</t>
  </si>
  <si>
    <t>Binario</t>
  </si>
  <si>
    <t>$F$2=Binario</t>
  </si>
  <si>
    <t>$G$2=Binario</t>
  </si>
  <si>
    <t>$H$2=Binario</t>
  </si>
  <si>
    <t>$I$2=Binario</t>
  </si>
  <si>
    <t>$J$2=Binario</t>
  </si>
  <si>
    <t>$K$2=Binario</t>
  </si>
  <si>
    <t>$L$2=Binario</t>
  </si>
  <si>
    <t>$M$2=Binario</t>
  </si>
  <si>
    <t>$N$2=Binario</t>
  </si>
  <si>
    <t>$O$2=Binario</t>
  </si>
  <si>
    <t>$P$2=Binario</t>
  </si>
  <si>
    <t>$Q$2=Binario</t>
  </si>
  <si>
    <t>$R$2=Binario</t>
  </si>
  <si>
    <t>$S$2=Binario</t>
  </si>
  <si>
    <t>$T$2=Binario</t>
  </si>
  <si>
    <t>$U$2=Binario</t>
  </si>
  <si>
    <t>$V$2=Binario</t>
  </si>
  <si>
    <t>$W$2=Binario</t>
  </si>
  <si>
    <t>$X$2=Binario</t>
  </si>
  <si>
    <t>$Y$2=Binario</t>
  </si>
  <si>
    <t>$Z$2=Binario</t>
  </si>
  <si>
    <t>$D$2=Binario</t>
  </si>
  <si>
    <t>$GT$2=Binario</t>
  </si>
  <si>
    <t>$GS$2=Binario</t>
  </si>
  <si>
    <t>$GR$2=Binario</t>
  </si>
  <si>
    <t>$GQ$2=Binario</t>
  </si>
  <si>
    <t>$GP$2=Binario</t>
  </si>
  <si>
    <t>$GO$2=Binario</t>
  </si>
  <si>
    <t>$GN$2=Binario</t>
  </si>
  <si>
    <t>$GM$2=Binario</t>
  </si>
  <si>
    <t>$GL$2=Binario</t>
  </si>
  <si>
    <t>$GK$2=Binario</t>
  </si>
  <si>
    <t>$GJ$2=Binario</t>
  </si>
  <si>
    <t>$GI$2=Binario</t>
  </si>
  <si>
    <t>$GH$2=Binario</t>
  </si>
  <si>
    <t>$GG$2=Binario</t>
  </si>
  <si>
    <t>$GF$2=Binario</t>
  </si>
  <si>
    <t>$GE$2=Binario</t>
  </si>
  <si>
    <t>$GD$2=Binario</t>
  </si>
  <si>
    <t>$GC$2=Binario</t>
  </si>
  <si>
    <t>$GB$2=Binario</t>
  </si>
  <si>
    <t>$GA$2=Binario</t>
  </si>
  <si>
    <t>$FZ$2=Binario</t>
  </si>
  <si>
    <t>$FY$2=Binario</t>
  </si>
  <si>
    <t>$FX$2=Binario</t>
  </si>
  <si>
    <t>$FW$2=Binario</t>
  </si>
  <si>
    <t>$FV$2=Binario</t>
  </si>
  <si>
    <t>$FU$2=Binario</t>
  </si>
  <si>
    <t>$FT$2=Binario</t>
  </si>
  <si>
    <t>$FS$2=Binario</t>
  </si>
  <si>
    <t>$FR$2=Binario</t>
  </si>
  <si>
    <t>$FQ$2=Binario</t>
  </si>
  <si>
    <t>$FP$2=Binario</t>
  </si>
  <si>
    <t>$FO$2=Binario</t>
  </si>
  <si>
    <t>$FN$2=Binario</t>
  </si>
  <si>
    <t>$FM$2=Binario</t>
  </si>
  <si>
    <t>$FL$2=Binario</t>
  </si>
  <si>
    <t>$FK$2=Binario</t>
  </si>
  <si>
    <t>$FJ$2=Binario</t>
  </si>
  <si>
    <t>$FI$2=Binario</t>
  </si>
  <si>
    <t>$FH$2=Binario</t>
  </si>
  <si>
    <t>$FG$2=Binario</t>
  </si>
  <si>
    <t>$FF$2=Binario</t>
  </si>
  <si>
    <t>$FE$2=Binario</t>
  </si>
  <si>
    <t>$FD$2=Binario</t>
  </si>
  <si>
    <t>$FC$2=Binario</t>
  </si>
  <si>
    <t>$FB$2=Binario</t>
  </si>
  <si>
    <t>$FA$2=Binario</t>
  </si>
  <si>
    <t>$EZ$2=Binario</t>
  </si>
  <si>
    <t>$EY$2=Binario</t>
  </si>
  <si>
    <t>$EX$2=Binario</t>
  </si>
  <si>
    <t>$EW$2=Binario</t>
  </si>
  <si>
    <t>$EV$2=Binario</t>
  </si>
  <si>
    <t>$EU$2=Binario</t>
  </si>
  <si>
    <t>$ET$2=Binario</t>
  </si>
  <si>
    <t>$ES$2=Binario</t>
  </si>
  <si>
    <t>$ER$2=Binario</t>
  </si>
  <si>
    <t>$EQ$2=Binario</t>
  </si>
  <si>
    <t>$EP$2=Binario</t>
  </si>
  <si>
    <t>$EO$2=Binario</t>
  </si>
  <si>
    <t>$EN$2=Binario</t>
  </si>
  <si>
    <t>$EM$2=Binario</t>
  </si>
  <si>
    <t>$EL$2=Binario</t>
  </si>
  <si>
    <t>$EK$2=Binario</t>
  </si>
  <si>
    <t>$EJ$2=Binario</t>
  </si>
  <si>
    <t>$EI$2=Binario</t>
  </si>
  <si>
    <t>$EH$2=Binario</t>
  </si>
  <si>
    <t>$EG$2=Binario</t>
  </si>
  <si>
    <t>$EF$2=Binario</t>
  </si>
  <si>
    <t>$EE$2=Binario</t>
  </si>
  <si>
    <t>$ED$2=Binario</t>
  </si>
  <si>
    <t>$EC$2=Binario</t>
  </si>
  <si>
    <t>$EB$2=Binario</t>
  </si>
  <si>
    <t>$EA$2=Binario</t>
  </si>
  <si>
    <t>$DZ$2=Binario</t>
  </si>
  <si>
    <t>$DY$2=Binario</t>
  </si>
  <si>
    <t>$DX$2=Binario</t>
  </si>
  <si>
    <t>$DW$2=Binario</t>
  </si>
  <si>
    <t>$DV$2=Binario</t>
  </si>
  <si>
    <t>$DU$2=Binario</t>
  </si>
  <si>
    <t>$DT$2=Binario</t>
  </si>
  <si>
    <t>$DS$2=Binario</t>
  </si>
  <si>
    <t>$DR$2=Binario</t>
  </si>
  <si>
    <t>$DQ$2=Binario</t>
  </si>
  <si>
    <t>$DP$2=Binario</t>
  </si>
  <si>
    <t>$DO$2=Binario</t>
  </si>
  <si>
    <t>$DN$2=Binario</t>
  </si>
  <si>
    <t>$DM$2=Binario</t>
  </si>
  <si>
    <t>$DL$2=Binario</t>
  </si>
  <si>
    <t>$DK$2=Binario</t>
  </si>
  <si>
    <t>$DJ$2=Binario</t>
  </si>
  <si>
    <t>$DI$2=Binario</t>
  </si>
  <si>
    <t>$DH$2=Binario</t>
  </si>
  <si>
    <t>$DG$2=Binario</t>
  </si>
  <si>
    <t>$DF$2=Binario</t>
  </si>
  <si>
    <t>$DE$2=Binario</t>
  </si>
  <si>
    <t>$DD$2=Binario</t>
  </si>
  <si>
    <t>$DC$2=Binario</t>
  </si>
  <si>
    <t>$DB$2=Binario</t>
  </si>
  <si>
    <t>$DA$2=Binario</t>
  </si>
  <si>
    <t>$C$2=Binario</t>
  </si>
  <si>
    <t>$CZ$2=Binario</t>
  </si>
  <si>
    <t>$CY$2=Binario</t>
  </si>
  <si>
    <t>$CX$2=Binario</t>
  </si>
  <si>
    <t>$CW$2=Binario</t>
  </si>
  <si>
    <t>$CV$2=Binario</t>
  </si>
  <si>
    <t>$CU$2=Binario</t>
  </si>
  <si>
    <t>$CT$2=Binario</t>
  </si>
  <si>
    <t>$CS$2=Binario</t>
  </si>
  <si>
    <t>$CR$2=Binario</t>
  </si>
  <si>
    <t>$CQ$2=Binario</t>
  </si>
  <si>
    <t>$CP$2=Binario</t>
  </si>
  <si>
    <t>$CO$2=Binario</t>
  </si>
  <si>
    <t>$CN$2=Binario</t>
  </si>
  <si>
    <t>$CM$2=Binario</t>
  </si>
  <si>
    <t>$CL$2=Binario</t>
  </si>
  <si>
    <t>$CK$2=Binario</t>
  </si>
  <si>
    <t>$CJ$2=Binario</t>
  </si>
  <si>
    <t>$CI$2=Binario</t>
  </si>
  <si>
    <t>$CH$2=Binario</t>
  </si>
  <si>
    <t>$CG$2=Binario</t>
  </si>
  <si>
    <t>$CF$2=Binario</t>
  </si>
  <si>
    <t>$CE$2=Binario</t>
  </si>
  <si>
    <t>$CD$2=Binario</t>
  </si>
  <si>
    <t>$CC$2=Binario</t>
  </si>
  <si>
    <t>$CB$2=Binario</t>
  </si>
  <si>
    <t>$CA$2=Binario</t>
  </si>
  <si>
    <t>$AA$2=Binario</t>
  </si>
  <si>
    <t>$AB$2=Binario</t>
  </si>
  <si>
    <t>$AC$2=Binario</t>
  </si>
  <si>
    <t>$AD$2=Binario</t>
  </si>
  <si>
    <t>$AE$2=Binario</t>
  </si>
  <si>
    <t>$AF$2=Binario</t>
  </si>
  <si>
    <t>$AG$2=Binario</t>
  </si>
  <si>
    <t>$AH$2=Binario</t>
  </si>
  <si>
    <t>$AI$2=Binario</t>
  </si>
  <si>
    <t>$AJ$2=Binario</t>
  </si>
  <si>
    <t>$AK$2=Binario</t>
  </si>
  <si>
    <t>$AL$2=Binario</t>
  </si>
  <si>
    <t>$AM$2=Binario</t>
  </si>
  <si>
    <t>$AN$2=Binario</t>
  </si>
  <si>
    <t>$AO$2=Binario</t>
  </si>
  <si>
    <t>$AP$2=Binario</t>
  </si>
  <si>
    <t>$AQ$2=Binario</t>
  </si>
  <si>
    <t>$AR$2=Binario</t>
  </si>
  <si>
    <t>$AS$2=Binario</t>
  </si>
  <si>
    <t>$AT$2=Binario</t>
  </si>
  <si>
    <t>$AU$2=Binario</t>
  </si>
  <si>
    <t>$AV$2=Binario</t>
  </si>
  <si>
    <t>$AW$2=Binario</t>
  </si>
  <si>
    <t>$AX$2=Binario</t>
  </si>
  <si>
    <t>$AY$2=Binario</t>
  </si>
  <si>
    <t>$AZ$2=Binario</t>
  </si>
  <si>
    <t>$BA$2=Binario</t>
  </si>
  <si>
    <t>$BB$2=Binario</t>
  </si>
  <si>
    <t>$BC$2=Binario</t>
  </si>
  <si>
    <t>$BD$2=Binario</t>
  </si>
  <si>
    <t>$BE$2=Binario</t>
  </si>
  <si>
    <t>$BF$2=Binario</t>
  </si>
  <si>
    <t>$BG$2=Binario</t>
  </si>
  <si>
    <t>$BH$2=Binario</t>
  </si>
  <si>
    <t>$BI$2=Binario</t>
  </si>
  <si>
    <t>$BJ$2=Binario</t>
  </si>
  <si>
    <t>$BK$2=Binario</t>
  </si>
  <si>
    <t>$BL$2=Binario</t>
  </si>
  <si>
    <t>$BM$2=Binario</t>
  </si>
  <si>
    <t>$BN$2=Binario</t>
  </si>
  <si>
    <t>$BO$2=Binario</t>
  </si>
  <si>
    <t>$BP$2=Binario</t>
  </si>
  <si>
    <t>$BQ$2=Binario</t>
  </si>
  <si>
    <t>$BR$2=Binario</t>
  </si>
  <si>
    <t>$BS$2=Binario</t>
  </si>
  <si>
    <t>$BT$2=Binario</t>
  </si>
  <si>
    <t>$BU$2=Binario</t>
  </si>
  <si>
    <t>$BV$2=Binario</t>
  </si>
  <si>
    <t>$BW$2=Binario</t>
  </si>
  <si>
    <t>$BX$2=Binario</t>
  </si>
  <si>
    <t>$BY$2=Binario</t>
  </si>
  <si>
    <t>$BZ$2=Binario</t>
  </si>
  <si>
    <t>$C$2:$GT$2</t>
  </si>
  <si>
    <t>$GV$6:$GV$55 &gt;= $GX$6:$GX$55</t>
  </si>
  <si>
    <t>$C$2:$GT$2 &gt;= $C$57:$GT$57</t>
  </si>
  <si>
    <t>$C$2:$GT$2 &lt;= $C$58:$GT$58</t>
  </si>
  <si>
    <t>Locaciones seleccionadas</t>
  </si>
  <si>
    <t>Dólares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</si>
</sst>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202</xdr:col>
      <xdr:colOff>0</xdr:colOff>
      <xdr:row>2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6C243F4A-9D94-1FB0-C7D0-C52D7591279B}"/>
            </a:ext>
          </a:extLst>
        </xdr:cNvPr>
        <xdr:cNvSpPr/>
      </xdr:nvSpPr>
      <xdr:spPr>
        <a:xfrm>
          <a:off x="1685925" y="190500"/>
          <a:ext cx="142875000" cy="190500"/>
        </a:xfrm>
        <a:prstGeom prst="rect">
          <a:avLst/>
        </a:prstGeom>
        <a:solidFill>
          <a:srgbClr val="FF00FF">
            <a:alpha val="40000"/>
          </a:srgbClr>
        </a:solidFill>
        <a:ln w="1905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CO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203</xdr:col>
      <xdr:colOff>0</xdr:colOff>
      <xdr:row>3</xdr:row>
      <xdr:rowOff>0</xdr:rowOff>
    </xdr:from>
    <xdr:to>
      <xdr:col>204</xdr:col>
      <xdr:colOff>0</xdr:colOff>
      <xdr:row>4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0763A4F4-324A-78E9-A2F2-9304C853BB30}"/>
            </a:ext>
          </a:extLst>
        </xdr:cNvPr>
        <xdr:cNvSpPr/>
      </xdr:nvSpPr>
      <xdr:spPr>
        <a:xfrm>
          <a:off x="145275300" y="571500"/>
          <a:ext cx="714375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CO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202</xdr:col>
      <xdr:colOff>701675</xdr:colOff>
      <xdr:row>2</xdr:row>
      <xdr:rowOff>114300</xdr:rowOff>
    </xdr:from>
    <xdr:to>
      <xdr:col>203</xdr:col>
      <xdr:colOff>209412</xdr:colOff>
      <xdr:row>3</xdr:row>
      <xdr:rowOff>50800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F3465F74-0CF2-D3AC-C42D-5321B180D19C}"/>
            </a:ext>
          </a:extLst>
        </xdr:cNvPr>
        <xdr:cNvSpPr/>
      </xdr:nvSpPr>
      <xdr:spPr>
        <a:xfrm>
          <a:off x="145262600" y="495300"/>
          <a:ext cx="222112" cy="1270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min </a:t>
          </a:r>
        </a:p>
      </xdr:txBody>
    </xdr:sp>
    <xdr:clientData/>
  </xdr:twoCellAnchor>
  <xdr:twoCellAnchor>
    <xdr:from>
      <xdr:col>203</xdr:col>
      <xdr:colOff>0</xdr:colOff>
      <xdr:row>5</xdr:row>
      <xdr:rowOff>0</xdr:rowOff>
    </xdr:from>
    <xdr:to>
      <xdr:col>204</xdr:col>
      <xdr:colOff>0</xdr:colOff>
      <xdr:row>55</xdr:row>
      <xdr:rowOff>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E0F60133-5989-0298-08DA-4DFE027BCA4A}"/>
            </a:ext>
          </a:extLst>
        </xdr:cNvPr>
        <xdr:cNvSpPr/>
      </xdr:nvSpPr>
      <xdr:spPr>
        <a:xfrm>
          <a:off x="145275300" y="952500"/>
          <a:ext cx="714375" cy="9525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es-CO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205</xdr:col>
      <xdr:colOff>0</xdr:colOff>
      <xdr:row>5</xdr:row>
      <xdr:rowOff>0</xdr:rowOff>
    </xdr:from>
    <xdr:to>
      <xdr:col>206</xdr:col>
      <xdr:colOff>0</xdr:colOff>
      <xdr:row>55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118D880F-F60C-D4D7-261B-EDC37E7685A2}"/>
            </a:ext>
          </a:extLst>
        </xdr:cNvPr>
        <xdr:cNvSpPr/>
      </xdr:nvSpPr>
      <xdr:spPr>
        <a:xfrm>
          <a:off x="146704050" y="952500"/>
          <a:ext cx="714375" cy="9525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CO" sz="1100" b="1">
              <a:solidFill>
                <a:srgbClr val="0000FF"/>
              </a:solidFill>
            </a:rPr>
            <a:t>≥</a:t>
          </a:r>
        </a:p>
      </xdr:txBody>
    </xdr:sp>
    <xdr:clientData/>
  </xdr:twoCellAnchor>
  <xdr:twoCellAnchor>
    <xdr:from>
      <xdr:col>204</xdr:col>
      <xdr:colOff>0</xdr:colOff>
      <xdr:row>30</xdr:row>
      <xdr:rowOff>0</xdr:rowOff>
    </xdr:from>
    <xdr:to>
      <xdr:col>205</xdr:col>
      <xdr:colOff>0</xdr:colOff>
      <xdr:row>30</xdr:row>
      <xdr:rowOff>0</xdr:rowOff>
    </xdr:to>
    <xdr:cxnSp macro="">
      <xdr:nvCxnSpPr>
        <xdr:cNvPr id="7" name="OpenSolver6">
          <a:extLst>
            <a:ext uri="{FF2B5EF4-FFF2-40B4-BE49-F238E27FC236}">
              <a16:creationId xmlns:a16="http://schemas.microsoft.com/office/drawing/2014/main" id="{C4F63A28-911C-A4E7-3594-3039D3278CC6}"/>
            </a:ext>
          </a:extLst>
        </xdr:cNvPr>
        <xdr:cNvCxnSpPr>
          <a:stCxn id="5" idx="3"/>
          <a:endCxn id="6" idx="1"/>
        </xdr:cNvCxnSpPr>
      </xdr:nvCxnSpPr>
      <xdr:spPr>
        <a:xfrm>
          <a:off x="145989675" y="5715000"/>
          <a:ext cx="714375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204</xdr:col>
      <xdr:colOff>166688</xdr:colOff>
      <xdr:row>29</xdr:row>
      <xdr:rowOff>63500</xdr:rowOff>
    </xdr:from>
    <xdr:to>
      <xdr:col>204</xdr:col>
      <xdr:colOff>547688</xdr:colOff>
      <xdr:row>30</xdr:row>
      <xdr:rowOff>127000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FF3AA166-CA79-E8CA-F532-42ABEB42ECA9}"/>
            </a:ext>
          </a:extLst>
        </xdr:cNvPr>
        <xdr:cNvSpPr/>
      </xdr:nvSpPr>
      <xdr:spPr>
        <a:xfrm>
          <a:off x="146156363" y="55880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12700</xdr:colOff>
      <xdr:row>1</xdr:row>
      <xdr:rowOff>12700</xdr:rowOff>
    </xdr:from>
    <xdr:to>
      <xdr:col>202</xdr:col>
      <xdr:colOff>0</xdr:colOff>
      <xdr:row>2</xdr:row>
      <xdr:rowOff>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656FEA8A-AD10-EE24-36E0-831B53DF0BB5}"/>
            </a:ext>
          </a:extLst>
        </xdr:cNvPr>
        <xdr:cNvSpPr/>
      </xdr:nvSpPr>
      <xdr:spPr>
        <a:xfrm>
          <a:off x="1698625" y="203200"/>
          <a:ext cx="142862300" cy="1778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CO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202</xdr:col>
      <xdr:colOff>0</xdr:colOff>
      <xdr:row>57</xdr:row>
      <xdr:rowOff>0</xdr:rowOff>
    </xdr:to>
    <xdr:sp macro="" textlink="">
      <xdr:nvSpPr>
        <xdr:cNvPr id="10" name="OpenSolver9">
          <a:extLst>
            <a:ext uri="{FF2B5EF4-FFF2-40B4-BE49-F238E27FC236}">
              <a16:creationId xmlns:a16="http://schemas.microsoft.com/office/drawing/2014/main" id="{01B1BD47-E668-3843-985A-C41AA34029B2}"/>
            </a:ext>
          </a:extLst>
        </xdr:cNvPr>
        <xdr:cNvSpPr/>
      </xdr:nvSpPr>
      <xdr:spPr>
        <a:xfrm>
          <a:off x="1685925" y="10668000"/>
          <a:ext cx="142875000" cy="1905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CO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102</xdr:col>
      <xdr:colOff>0</xdr:colOff>
      <xdr:row>2</xdr:row>
      <xdr:rowOff>0</xdr:rowOff>
    </xdr:from>
    <xdr:to>
      <xdr:col>102</xdr:col>
      <xdr:colOff>6350</xdr:colOff>
      <xdr:row>56</xdr:row>
      <xdr:rowOff>0</xdr:rowOff>
    </xdr:to>
    <xdr:cxnSp macro="">
      <xdr:nvCxnSpPr>
        <xdr:cNvPr id="11" name="OpenSolver10">
          <a:extLst>
            <a:ext uri="{FF2B5EF4-FFF2-40B4-BE49-F238E27FC236}">
              <a16:creationId xmlns:a16="http://schemas.microsoft.com/office/drawing/2014/main" id="{BC5616A2-4A29-A2A7-02F4-617E0A7EA7C8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73123425" y="381000"/>
          <a:ext cx="6350" cy="1028700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527050</xdr:colOff>
      <xdr:row>28</xdr:row>
      <xdr:rowOff>63500</xdr:rowOff>
    </xdr:from>
    <xdr:to>
      <xdr:col>102</xdr:col>
      <xdr:colOff>193675</xdr:colOff>
      <xdr:row>29</xdr:row>
      <xdr:rowOff>127000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F6F37C1D-4923-6165-2860-B2DBC2959EF4}"/>
            </a:ext>
          </a:extLst>
        </xdr:cNvPr>
        <xdr:cNvSpPr/>
      </xdr:nvSpPr>
      <xdr:spPr>
        <a:xfrm>
          <a:off x="72936100" y="539750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25400</xdr:colOff>
      <xdr:row>1</xdr:row>
      <xdr:rowOff>25400</xdr:rowOff>
    </xdr:from>
    <xdr:to>
      <xdr:col>202</xdr:col>
      <xdr:colOff>0</xdr:colOff>
      <xdr:row>2</xdr:row>
      <xdr:rowOff>0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009E07EE-A438-9210-B141-75635E1ED7A3}"/>
            </a:ext>
          </a:extLst>
        </xdr:cNvPr>
        <xdr:cNvSpPr/>
      </xdr:nvSpPr>
      <xdr:spPr>
        <a:xfrm>
          <a:off x="1711325" y="215900"/>
          <a:ext cx="142849600" cy="1651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s-CO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202</xdr:col>
      <xdr:colOff>0</xdr:colOff>
      <xdr:row>58</xdr:row>
      <xdr:rowOff>0</xdr:rowOff>
    </xdr:to>
    <xdr:sp macro="" textlink="">
      <xdr:nvSpPr>
        <xdr:cNvPr id="14" name="OpenSolver13">
          <a:extLst>
            <a:ext uri="{FF2B5EF4-FFF2-40B4-BE49-F238E27FC236}">
              <a16:creationId xmlns:a16="http://schemas.microsoft.com/office/drawing/2014/main" id="{D1A7FAF8-8F7A-772C-11A6-EE0F9A732CCF}"/>
            </a:ext>
          </a:extLst>
        </xdr:cNvPr>
        <xdr:cNvSpPr/>
      </xdr:nvSpPr>
      <xdr:spPr>
        <a:xfrm>
          <a:off x="1685925" y="10858500"/>
          <a:ext cx="142875000" cy="1905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s-CO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102</xdr:col>
      <xdr:colOff>0</xdr:colOff>
      <xdr:row>2</xdr:row>
      <xdr:rowOff>0</xdr:rowOff>
    </xdr:from>
    <xdr:to>
      <xdr:col>102</xdr:col>
      <xdr:colOff>12700</xdr:colOff>
      <xdr:row>57</xdr:row>
      <xdr:rowOff>0</xdr:rowOff>
    </xdr:to>
    <xdr:cxnSp macro="">
      <xdr:nvCxnSpPr>
        <xdr:cNvPr id="15" name="OpenSolver14">
          <a:extLst>
            <a:ext uri="{FF2B5EF4-FFF2-40B4-BE49-F238E27FC236}">
              <a16:creationId xmlns:a16="http://schemas.microsoft.com/office/drawing/2014/main" id="{59FFBDA3-47CA-3C5C-C191-3C08FE086E56}"/>
            </a:ext>
          </a:extLst>
        </xdr:cNvPr>
        <xdr:cNvCxnSpPr>
          <a:stCxn id="13" idx="2"/>
          <a:endCxn id="14" idx="0"/>
        </xdr:cNvCxnSpPr>
      </xdr:nvCxnSpPr>
      <xdr:spPr>
        <a:xfrm flipH="1">
          <a:off x="73123425" y="381000"/>
          <a:ext cx="12700" cy="1047750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530225</xdr:colOff>
      <xdr:row>28</xdr:row>
      <xdr:rowOff>158750</xdr:rowOff>
    </xdr:from>
    <xdr:to>
      <xdr:col>102</xdr:col>
      <xdr:colOff>196850</xdr:colOff>
      <xdr:row>30</xdr:row>
      <xdr:rowOff>31750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41FE20DB-0487-BE7F-E320-06F102631282}"/>
            </a:ext>
          </a:extLst>
        </xdr:cNvPr>
        <xdr:cNvSpPr/>
      </xdr:nvSpPr>
      <xdr:spPr>
        <a:xfrm>
          <a:off x="72939275" y="5492750"/>
          <a:ext cx="381000" cy="254000"/>
        </a:xfrm>
        <a:prstGeom prst="rect">
          <a:avLst/>
        </a:prstGeom>
        <a:noFill/>
        <a:ln w="1905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15875</xdr:colOff>
      <xdr:row>1</xdr:row>
      <xdr:rowOff>12700</xdr:rowOff>
    </xdr:from>
    <xdr:to>
      <xdr:col>2</xdr:col>
      <xdr:colOff>100835</xdr:colOff>
      <xdr:row>1</xdr:row>
      <xdr:rowOff>127000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D1DD9988-0A9D-C04E-01D0-E8F204B3492C}"/>
            </a:ext>
          </a:extLst>
        </xdr:cNvPr>
        <xdr:cNvSpPr/>
      </xdr:nvSpPr>
      <xdr:spPr>
        <a:xfrm>
          <a:off x="170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</xdr:col>
      <xdr:colOff>12700</xdr:colOff>
      <xdr:row>1</xdr:row>
      <xdr:rowOff>12700</xdr:rowOff>
    </xdr:from>
    <xdr:to>
      <xdr:col>3</xdr:col>
      <xdr:colOff>97660</xdr:colOff>
      <xdr:row>1</xdr:row>
      <xdr:rowOff>127000</xdr:rowOff>
    </xdr:to>
    <xdr:sp macro="" textlink="">
      <xdr:nvSpPr>
        <xdr:cNvPr id="18" name="OpenSolver17">
          <a:extLst>
            <a:ext uri="{FF2B5EF4-FFF2-40B4-BE49-F238E27FC236}">
              <a16:creationId xmlns:a16="http://schemas.microsoft.com/office/drawing/2014/main" id="{1B2F1A1F-5EF9-0FFB-0E35-21031B251A3A}"/>
            </a:ext>
          </a:extLst>
        </xdr:cNvPr>
        <xdr:cNvSpPr/>
      </xdr:nvSpPr>
      <xdr:spPr>
        <a:xfrm>
          <a:off x="241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</xdr:col>
      <xdr:colOff>9525</xdr:colOff>
      <xdr:row>1</xdr:row>
      <xdr:rowOff>12700</xdr:rowOff>
    </xdr:from>
    <xdr:to>
      <xdr:col>4</xdr:col>
      <xdr:colOff>94485</xdr:colOff>
      <xdr:row>1</xdr:row>
      <xdr:rowOff>127000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1B82FAA3-EC90-4230-B255-D7BDC466FDE4}"/>
            </a:ext>
          </a:extLst>
        </xdr:cNvPr>
        <xdr:cNvSpPr/>
      </xdr:nvSpPr>
      <xdr:spPr>
        <a:xfrm>
          <a:off x="312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</xdr:col>
      <xdr:colOff>6350</xdr:colOff>
      <xdr:row>1</xdr:row>
      <xdr:rowOff>12700</xdr:rowOff>
    </xdr:from>
    <xdr:to>
      <xdr:col>5</xdr:col>
      <xdr:colOff>91310</xdr:colOff>
      <xdr:row>1</xdr:row>
      <xdr:rowOff>127000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4DB23338-1009-870F-9046-EEDA6B1E44B4}"/>
            </a:ext>
          </a:extLst>
        </xdr:cNvPr>
        <xdr:cNvSpPr/>
      </xdr:nvSpPr>
      <xdr:spPr>
        <a:xfrm>
          <a:off x="383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</xdr:col>
      <xdr:colOff>15875</xdr:colOff>
      <xdr:row>1</xdr:row>
      <xdr:rowOff>12700</xdr:rowOff>
    </xdr:from>
    <xdr:to>
      <xdr:col>6</xdr:col>
      <xdr:colOff>100835</xdr:colOff>
      <xdr:row>1</xdr:row>
      <xdr:rowOff>127000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DBD92356-EA58-3BDF-D3D0-E66CF1E107C2}"/>
            </a:ext>
          </a:extLst>
        </xdr:cNvPr>
        <xdr:cNvSpPr/>
      </xdr:nvSpPr>
      <xdr:spPr>
        <a:xfrm>
          <a:off x="455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</xdr:col>
      <xdr:colOff>12700</xdr:colOff>
      <xdr:row>1</xdr:row>
      <xdr:rowOff>12700</xdr:rowOff>
    </xdr:from>
    <xdr:to>
      <xdr:col>7</xdr:col>
      <xdr:colOff>97660</xdr:colOff>
      <xdr:row>1</xdr:row>
      <xdr:rowOff>127000</xdr:rowOff>
    </xdr:to>
    <xdr:sp macro="" textlink="">
      <xdr:nvSpPr>
        <xdr:cNvPr id="22" name="OpenSolver21">
          <a:extLst>
            <a:ext uri="{FF2B5EF4-FFF2-40B4-BE49-F238E27FC236}">
              <a16:creationId xmlns:a16="http://schemas.microsoft.com/office/drawing/2014/main" id="{E89B4DFE-ADFF-C457-BCF5-02444B7BC4E5}"/>
            </a:ext>
          </a:extLst>
        </xdr:cNvPr>
        <xdr:cNvSpPr/>
      </xdr:nvSpPr>
      <xdr:spPr>
        <a:xfrm>
          <a:off x="527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</xdr:col>
      <xdr:colOff>9525</xdr:colOff>
      <xdr:row>1</xdr:row>
      <xdr:rowOff>12700</xdr:rowOff>
    </xdr:from>
    <xdr:to>
      <xdr:col>8</xdr:col>
      <xdr:colOff>94485</xdr:colOff>
      <xdr:row>1</xdr:row>
      <xdr:rowOff>127000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CB65E798-66B5-82E8-B964-8C313E8DE2C9}"/>
            </a:ext>
          </a:extLst>
        </xdr:cNvPr>
        <xdr:cNvSpPr/>
      </xdr:nvSpPr>
      <xdr:spPr>
        <a:xfrm>
          <a:off x="598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</xdr:col>
      <xdr:colOff>19050</xdr:colOff>
      <xdr:row>1</xdr:row>
      <xdr:rowOff>12700</xdr:rowOff>
    </xdr:from>
    <xdr:to>
      <xdr:col>9</xdr:col>
      <xdr:colOff>104010</xdr:colOff>
      <xdr:row>1</xdr:row>
      <xdr:rowOff>127000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495784DF-1147-2513-E972-B193D6B5EA08}"/>
            </a:ext>
          </a:extLst>
        </xdr:cNvPr>
        <xdr:cNvSpPr/>
      </xdr:nvSpPr>
      <xdr:spPr>
        <a:xfrm>
          <a:off x="670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</xdr:col>
      <xdr:colOff>15875</xdr:colOff>
      <xdr:row>1</xdr:row>
      <xdr:rowOff>12700</xdr:rowOff>
    </xdr:from>
    <xdr:to>
      <xdr:col>10</xdr:col>
      <xdr:colOff>100835</xdr:colOff>
      <xdr:row>1</xdr:row>
      <xdr:rowOff>127000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600BAFD2-0F07-F2E1-EE87-5D6D1DD3F4BC}"/>
            </a:ext>
          </a:extLst>
        </xdr:cNvPr>
        <xdr:cNvSpPr/>
      </xdr:nvSpPr>
      <xdr:spPr>
        <a:xfrm>
          <a:off x="741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</xdr:row>
      <xdr:rowOff>12700</xdr:rowOff>
    </xdr:from>
    <xdr:to>
      <xdr:col>11</xdr:col>
      <xdr:colOff>97660</xdr:colOff>
      <xdr:row>1</xdr:row>
      <xdr:rowOff>127000</xdr:rowOff>
    </xdr:to>
    <xdr:sp macro="" textlink="">
      <xdr:nvSpPr>
        <xdr:cNvPr id="26" name="OpenSolver25">
          <a:extLst>
            <a:ext uri="{FF2B5EF4-FFF2-40B4-BE49-F238E27FC236}">
              <a16:creationId xmlns:a16="http://schemas.microsoft.com/office/drawing/2014/main" id="{DD9C9EA3-98DE-2101-D244-9BAC4F966754}"/>
            </a:ext>
          </a:extLst>
        </xdr:cNvPr>
        <xdr:cNvSpPr/>
      </xdr:nvSpPr>
      <xdr:spPr>
        <a:xfrm>
          <a:off x="812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</xdr:col>
      <xdr:colOff>9525</xdr:colOff>
      <xdr:row>1</xdr:row>
      <xdr:rowOff>12700</xdr:rowOff>
    </xdr:from>
    <xdr:to>
      <xdr:col>12</xdr:col>
      <xdr:colOff>94485</xdr:colOff>
      <xdr:row>1</xdr:row>
      <xdr:rowOff>127000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8D118FB6-B6E2-BECC-4932-F0004C756F0C}"/>
            </a:ext>
          </a:extLst>
        </xdr:cNvPr>
        <xdr:cNvSpPr/>
      </xdr:nvSpPr>
      <xdr:spPr>
        <a:xfrm>
          <a:off x="883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</xdr:col>
      <xdr:colOff>6350</xdr:colOff>
      <xdr:row>1</xdr:row>
      <xdr:rowOff>12700</xdr:rowOff>
    </xdr:from>
    <xdr:to>
      <xdr:col>13</xdr:col>
      <xdr:colOff>91310</xdr:colOff>
      <xdr:row>1</xdr:row>
      <xdr:rowOff>127000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90B2F73B-6D7B-B950-EE35-2AC19413B6C7}"/>
            </a:ext>
          </a:extLst>
        </xdr:cNvPr>
        <xdr:cNvSpPr/>
      </xdr:nvSpPr>
      <xdr:spPr>
        <a:xfrm>
          <a:off x="955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</xdr:col>
      <xdr:colOff>15875</xdr:colOff>
      <xdr:row>1</xdr:row>
      <xdr:rowOff>12700</xdr:rowOff>
    </xdr:from>
    <xdr:to>
      <xdr:col>14</xdr:col>
      <xdr:colOff>100835</xdr:colOff>
      <xdr:row>1</xdr:row>
      <xdr:rowOff>127000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162C49F3-4B0F-E00E-DEC1-D108BB3CF62D}"/>
            </a:ext>
          </a:extLst>
        </xdr:cNvPr>
        <xdr:cNvSpPr/>
      </xdr:nvSpPr>
      <xdr:spPr>
        <a:xfrm>
          <a:off x="1027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</xdr:col>
      <xdr:colOff>12700</xdr:colOff>
      <xdr:row>1</xdr:row>
      <xdr:rowOff>12700</xdr:rowOff>
    </xdr:from>
    <xdr:to>
      <xdr:col>15</xdr:col>
      <xdr:colOff>97660</xdr:colOff>
      <xdr:row>1</xdr:row>
      <xdr:rowOff>127000</xdr:rowOff>
    </xdr:to>
    <xdr:sp macro="" textlink="">
      <xdr:nvSpPr>
        <xdr:cNvPr id="30" name="OpenSolver29">
          <a:extLst>
            <a:ext uri="{FF2B5EF4-FFF2-40B4-BE49-F238E27FC236}">
              <a16:creationId xmlns:a16="http://schemas.microsoft.com/office/drawing/2014/main" id="{674AA437-E5CF-B400-46B8-9CA577B274BD}"/>
            </a:ext>
          </a:extLst>
        </xdr:cNvPr>
        <xdr:cNvSpPr/>
      </xdr:nvSpPr>
      <xdr:spPr>
        <a:xfrm>
          <a:off x="1098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</xdr:col>
      <xdr:colOff>9525</xdr:colOff>
      <xdr:row>1</xdr:row>
      <xdr:rowOff>12700</xdr:rowOff>
    </xdr:from>
    <xdr:to>
      <xdr:col>16</xdr:col>
      <xdr:colOff>94485</xdr:colOff>
      <xdr:row>1</xdr:row>
      <xdr:rowOff>127000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621A5E7B-198D-CC2D-88DD-F8A344B1EBBD}"/>
            </a:ext>
          </a:extLst>
        </xdr:cNvPr>
        <xdr:cNvSpPr/>
      </xdr:nvSpPr>
      <xdr:spPr>
        <a:xfrm>
          <a:off x="1169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</xdr:col>
      <xdr:colOff>19050</xdr:colOff>
      <xdr:row>1</xdr:row>
      <xdr:rowOff>12700</xdr:rowOff>
    </xdr:from>
    <xdr:to>
      <xdr:col>17</xdr:col>
      <xdr:colOff>104010</xdr:colOff>
      <xdr:row>1</xdr:row>
      <xdr:rowOff>127000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64186478-0A38-DE73-3177-1AC9A5E704F2}"/>
            </a:ext>
          </a:extLst>
        </xdr:cNvPr>
        <xdr:cNvSpPr/>
      </xdr:nvSpPr>
      <xdr:spPr>
        <a:xfrm>
          <a:off x="1242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</xdr:col>
      <xdr:colOff>15875</xdr:colOff>
      <xdr:row>1</xdr:row>
      <xdr:rowOff>12700</xdr:rowOff>
    </xdr:from>
    <xdr:to>
      <xdr:col>18</xdr:col>
      <xdr:colOff>100835</xdr:colOff>
      <xdr:row>1</xdr:row>
      <xdr:rowOff>127000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D7CD0A8F-1E90-5990-83D6-1C1CEF4C1BFA}"/>
            </a:ext>
          </a:extLst>
        </xdr:cNvPr>
        <xdr:cNvSpPr/>
      </xdr:nvSpPr>
      <xdr:spPr>
        <a:xfrm>
          <a:off x="1313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</xdr:col>
      <xdr:colOff>12700</xdr:colOff>
      <xdr:row>1</xdr:row>
      <xdr:rowOff>12700</xdr:rowOff>
    </xdr:from>
    <xdr:to>
      <xdr:col>19</xdr:col>
      <xdr:colOff>97660</xdr:colOff>
      <xdr:row>1</xdr:row>
      <xdr:rowOff>127000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793320E2-6D1E-3DCF-ECB9-BE2D19A928CC}"/>
            </a:ext>
          </a:extLst>
        </xdr:cNvPr>
        <xdr:cNvSpPr/>
      </xdr:nvSpPr>
      <xdr:spPr>
        <a:xfrm>
          <a:off x="1384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20</xdr:col>
      <xdr:colOff>9525</xdr:colOff>
      <xdr:row>1</xdr:row>
      <xdr:rowOff>12700</xdr:rowOff>
    </xdr:from>
    <xdr:to>
      <xdr:col>20</xdr:col>
      <xdr:colOff>94485</xdr:colOff>
      <xdr:row>1</xdr:row>
      <xdr:rowOff>127000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93A4A693-2D51-55E3-5200-2409E00B83D3}"/>
            </a:ext>
          </a:extLst>
        </xdr:cNvPr>
        <xdr:cNvSpPr/>
      </xdr:nvSpPr>
      <xdr:spPr>
        <a:xfrm>
          <a:off x="1455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21</xdr:col>
      <xdr:colOff>6350</xdr:colOff>
      <xdr:row>1</xdr:row>
      <xdr:rowOff>12700</xdr:rowOff>
    </xdr:from>
    <xdr:to>
      <xdr:col>21</xdr:col>
      <xdr:colOff>91310</xdr:colOff>
      <xdr:row>1</xdr:row>
      <xdr:rowOff>127000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DD735607-0437-1E69-0E88-F27318DFB487}"/>
            </a:ext>
          </a:extLst>
        </xdr:cNvPr>
        <xdr:cNvSpPr/>
      </xdr:nvSpPr>
      <xdr:spPr>
        <a:xfrm>
          <a:off x="1526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22</xdr:col>
      <xdr:colOff>15875</xdr:colOff>
      <xdr:row>1</xdr:row>
      <xdr:rowOff>12700</xdr:rowOff>
    </xdr:from>
    <xdr:to>
      <xdr:col>22</xdr:col>
      <xdr:colOff>100835</xdr:colOff>
      <xdr:row>1</xdr:row>
      <xdr:rowOff>127000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F895EA28-DCD0-5770-5852-6B08865DC75D}"/>
            </a:ext>
          </a:extLst>
        </xdr:cNvPr>
        <xdr:cNvSpPr/>
      </xdr:nvSpPr>
      <xdr:spPr>
        <a:xfrm>
          <a:off x="1598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23</xdr:col>
      <xdr:colOff>12700</xdr:colOff>
      <xdr:row>1</xdr:row>
      <xdr:rowOff>12700</xdr:rowOff>
    </xdr:from>
    <xdr:to>
      <xdr:col>23</xdr:col>
      <xdr:colOff>97660</xdr:colOff>
      <xdr:row>1</xdr:row>
      <xdr:rowOff>127000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5DAE2115-39BE-E86F-FB4E-B68E293C26BE}"/>
            </a:ext>
          </a:extLst>
        </xdr:cNvPr>
        <xdr:cNvSpPr/>
      </xdr:nvSpPr>
      <xdr:spPr>
        <a:xfrm>
          <a:off x="1670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24</xdr:col>
      <xdr:colOff>9525</xdr:colOff>
      <xdr:row>1</xdr:row>
      <xdr:rowOff>12700</xdr:rowOff>
    </xdr:from>
    <xdr:to>
      <xdr:col>24</xdr:col>
      <xdr:colOff>94485</xdr:colOff>
      <xdr:row>1</xdr:row>
      <xdr:rowOff>127000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286CD5B8-FF56-0724-08F4-6AAAAFC7DA4A}"/>
            </a:ext>
          </a:extLst>
        </xdr:cNvPr>
        <xdr:cNvSpPr/>
      </xdr:nvSpPr>
      <xdr:spPr>
        <a:xfrm>
          <a:off x="1741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25</xdr:col>
      <xdr:colOff>19050</xdr:colOff>
      <xdr:row>1</xdr:row>
      <xdr:rowOff>12700</xdr:rowOff>
    </xdr:from>
    <xdr:to>
      <xdr:col>25</xdr:col>
      <xdr:colOff>104010</xdr:colOff>
      <xdr:row>1</xdr:row>
      <xdr:rowOff>127000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9B3D3272-A969-CD6A-D36C-14BB75277298}"/>
            </a:ext>
          </a:extLst>
        </xdr:cNvPr>
        <xdr:cNvSpPr/>
      </xdr:nvSpPr>
      <xdr:spPr>
        <a:xfrm>
          <a:off x="1813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26</xdr:col>
      <xdr:colOff>15875</xdr:colOff>
      <xdr:row>1</xdr:row>
      <xdr:rowOff>12700</xdr:rowOff>
    </xdr:from>
    <xdr:to>
      <xdr:col>26</xdr:col>
      <xdr:colOff>100835</xdr:colOff>
      <xdr:row>1</xdr:row>
      <xdr:rowOff>127000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10E2739D-63DC-1D66-A159-0762F66F3533}"/>
            </a:ext>
          </a:extLst>
        </xdr:cNvPr>
        <xdr:cNvSpPr/>
      </xdr:nvSpPr>
      <xdr:spPr>
        <a:xfrm>
          <a:off x="1884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27</xdr:col>
      <xdr:colOff>12700</xdr:colOff>
      <xdr:row>1</xdr:row>
      <xdr:rowOff>12700</xdr:rowOff>
    </xdr:from>
    <xdr:to>
      <xdr:col>27</xdr:col>
      <xdr:colOff>97660</xdr:colOff>
      <xdr:row>1</xdr:row>
      <xdr:rowOff>127000</xdr:rowOff>
    </xdr:to>
    <xdr:sp macro="" textlink="">
      <xdr:nvSpPr>
        <xdr:cNvPr id="42" name="OpenSolver41">
          <a:extLst>
            <a:ext uri="{FF2B5EF4-FFF2-40B4-BE49-F238E27FC236}">
              <a16:creationId xmlns:a16="http://schemas.microsoft.com/office/drawing/2014/main" id="{85D9B83E-4D85-61DA-44B3-BC2929A79D5F}"/>
            </a:ext>
          </a:extLst>
        </xdr:cNvPr>
        <xdr:cNvSpPr/>
      </xdr:nvSpPr>
      <xdr:spPr>
        <a:xfrm>
          <a:off x="1955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28</xdr:col>
      <xdr:colOff>9525</xdr:colOff>
      <xdr:row>1</xdr:row>
      <xdr:rowOff>12700</xdr:rowOff>
    </xdr:from>
    <xdr:to>
      <xdr:col>28</xdr:col>
      <xdr:colOff>94485</xdr:colOff>
      <xdr:row>1</xdr:row>
      <xdr:rowOff>127000</xdr:rowOff>
    </xdr:to>
    <xdr:sp macro="" textlink="">
      <xdr:nvSpPr>
        <xdr:cNvPr id="43" name="OpenSolver42">
          <a:extLst>
            <a:ext uri="{FF2B5EF4-FFF2-40B4-BE49-F238E27FC236}">
              <a16:creationId xmlns:a16="http://schemas.microsoft.com/office/drawing/2014/main" id="{7C8D50E7-F17B-184D-0703-482E5464F055}"/>
            </a:ext>
          </a:extLst>
        </xdr:cNvPr>
        <xdr:cNvSpPr/>
      </xdr:nvSpPr>
      <xdr:spPr>
        <a:xfrm>
          <a:off x="2026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29</xdr:col>
      <xdr:colOff>6350</xdr:colOff>
      <xdr:row>1</xdr:row>
      <xdr:rowOff>12700</xdr:rowOff>
    </xdr:from>
    <xdr:to>
      <xdr:col>29</xdr:col>
      <xdr:colOff>91310</xdr:colOff>
      <xdr:row>1</xdr:row>
      <xdr:rowOff>127000</xdr:rowOff>
    </xdr:to>
    <xdr:sp macro="" textlink="">
      <xdr:nvSpPr>
        <xdr:cNvPr id="44" name="OpenSolver43">
          <a:extLst>
            <a:ext uri="{FF2B5EF4-FFF2-40B4-BE49-F238E27FC236}">
              <a16:creationId xmlns:a16="http://schemas.microsoft.com/office/drawing/2014/main" id="{1DA85B5E-D737-E82D-042F-CF7A3AC582EC}"/>
            </a:ext>
          </a:extLst>
        </xdr:cNvPr>
        <xdr:cNvSpPr/>
      </xdr:nvSpPr>
      <xdr:spPr>
        <a:xfrm>
          <a:off x="2098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30</xdr:col>
      <xdr:colOff>15875</xdr:colOff>
      <xdr:row>1</xdr:row>
      <xdr:rowOff>12700</xdr:rowOff>
    </xdr:from>
    <xdr:to>
      <xdr:col>30</xdr:col>
      <xdr:colOff>100835</xdr:colOff>
      <xdr:row>1</xdr:row>
      <xdr:rowOff>127000</xdr:rowOff>
    </xdr:to>
    <xdr:sp macro="" textlink="">
      <xdr:nvSpPr>
        <xdr:cNvPr id="45" name="OpenSolver44">
          <a:extLst>
            <a:ext uri="{FF2B5EF4-FFF2-40B4-BE49-F238E27FC236}">
              <a16:creationId xmlns:a16="http://schemas.microsoft.com/office/drawing/2014/main" id="{C86E80DD-2F8D-B0B8-CEF0-FFC5F384A952}"/>
            </a:ext>
          </a:extLst>
        </xdr:cNvPr>
        <xdr:cNvSpPr/>
      </xdr:nvSpPr>
      <xdr:spPr>
        <a:xfrm>
          <a:off x="2170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31</xdr:col>
      <xdr:colOff>12700</xdr:colOff>
      <xdr:row>1</xdr:row>
      <xdr:rowOff>12700</xdr:rowOff>
    </xdr:from>
    <xdr:to>
      <xdr:col>31</xdr:col>
      <xdr:colOff>97660</xdr:colOff>
      <xdr:row>1</xdr:row>
      <xdr:rowOff>127000</xdr:rowOff>
    </xdr:to>
    <xdr:sp macro="" textlink="">
      <xdr:nvSpPr>
        <xdr:cNvPr id="46" name="OpenSolver45">
          <a:extLst>
            <a:ext uri="{FF2B5EF4-FFF2-40B4-BE49-F238E27FC236}">
              <a16:creationId xmlns:a16="http://schemas.microsoft.com/office/drawing/2014/main" id="{081432E4-9E0F-C6E7-025E-5B418711996F}"/>
            </a:ext>
          </a:extLst>
        </xdr:cNvPr>
        <xdr:cNvSpPr/>
      </xdr:nvSpPr>
      <xdr:spPr>
        <a:xfrm>
          <a:off x="2241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32</xdr:col>
      <xdr:colOff>9525</xdr:colOff>
      <xdr:row>1</xdr:row>
      <xdr:rowOff>12700</xdr:rowOff>
    </xdr:from>
    <xdr:to>
      <xdr:col>32</xdr:col>
      <xdr:colOff>94485</xdr:colOff>
      <xdr:row>1</xdr:row>
      <xdr:rowOff>127000</xdr:rowOff>
    </xdr:to>
    <xdr:sp macro="" textlink="">
      <xdr:nvSpPr>
        <xdr:cNvPr id="47" name="OpenSolver46">
          <a:extLst>
            <a:ext uri="{FF2B5EF4-FFF2-40B4-BE49-F238E27FC236}">
              <a16:creationId xmlns:a16="http://schemas.microsoft.com/office/drawing/2014/main" id="{D00F2142-E3C0-C6CE-87BF-6F7786319423}"/>
            </a:ext>
          </a:extLst>
        </xdr:cNvPr>
        <xdr:cNvSpPr/>
      </xdr:nvSpPr>
      <xdr:spPr>
        <a:xfrm>
          <a:off x="2312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33</xdr:col>
      <xdr:colOff>19050</xdr:colOff>
      <xdr:row>1</xdr:row>
      <xdr:rowOff>12700</xdr:rowOff>
    </xdr:from>
    <xdr:to>
      <xdr:col>33</xdr:col>
      <xdr:colOff>104010</xdr:colOff>
      <xdr:row>1</xdr:row>
      <xdr:rowOff>127000</xdr:rowOff>
    </xdr:to>
    <xdr:sp macro="" textlink="">
      <xdr:nvSpPr>
        <xdr:cNvPr id="48" name="OpenSolver47">
          <a:extLst>
            <a:ext uri="{FF2B5EF4-FFF2-40B4-BE49-F238E27FC236}">
              <a16:creationId xmlns:a16="http://schemas.microsoft.com/office/drawing/2014/main" id="{4C68CE94-DBE7-27C3-D680-57F9FB04F0B7}"/>
            </a:ext>
          </a:extLst>
        </xdr:cNvPr>
        <xdr:cNvSpPr/>
      </xdr:nvSpPr>
      <xdr:spPr>
        <a:xfrm>
          <a:off x="2385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34</xdr:col>
      <xdr:colOff>15875</xdr:colOff>
      <xdr:row>1</xdr:row>
      <xdr:rowOff>12700</xdr:rowOff>
    </xdr:from>
    <xdr:to>
      <xdr:col>34</xdr:col>
      <xdr:colOff>100835</xdr:colOff>
      <xdr:row>1</xdr:row>
      <xdr:rowOff>127000</xdr:rowOff>
    </xdr:to>
    <xdr:sp macro="" textlink="">
      <xdr:nvSpPr>
        <xdr:cNvPr id="49" name="OpenSolver48">
          <a:extLst>
            <a:ext uri="{FF2B5EF4-FFF2-40B4-BE49-F238E27FC236}">
              <a16:creationId xmlns:a16="http://schemas.microsoft.com/office/drawing/2014/main" id="{CEB74004-C29C-ED11-F2CD-3DC174497FFA}"/>
            </a:ext>
          </a:extLst>
        </xdr:cNvPr>
        <xdr:cNvSpPr/>
      </xdr:nvSpPr>
      <xdr:spPr>
        <a:xfrm>
          <a:off x="2456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35</xdr:col>
      <xdr:colOff>12700</xdr:colOff>
      <xdr:row>1</xdr:row>
      <xdr:rowOff>12700</xdr:rowOff>
    </xdr:from>
    <xdr:to>
      <xdr:col>35</xdr:col>
      <xdr:colOff>97660</xdr:colOff>
      <xdr:row>1</xdr:row>
      <xdr:rowOff>127000</xdr:rowOff>
    </xdr:to>
    <xdr:sp macro="" textlink="">
      <xdr:nvSpPr>
        <xdr:cNvPr id="50" name="OpenSolver49">
          <a:extLst>
            <a:ext uri="{FF2B5EF4-FFF2-40B4-BE49-F238E27FC236}">
              <a16:creationId xmlns:a16="http://schemas.microsoft.com/office/drawing/2014/main" id="{E4FE9745-73DD-2D04-4734-511337CB0C03}"/>
            </a:ext>
          </a:extLst>
        </xdr:cNvPr>
        <xdr:cNvSpPr/>
      </xdr:nvSpPr>
      <xdr:spPr>
        <a:xfrm>
          <a:off x="2527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36</xdr:col>
      <xdr:colOff>9525</xdr:colOff>
      <xdr:row>1</xdr:row>
      <xdr:rowOff>12700</xdr:rowOff>
    </xdr:from>
    <xdr:to>
      <xdr:col>36</xdr:col>
      <xdr:colOff>94485</xdr:colOff>
      <xdr:row>1</xdr:row>
      <xdr:rowOff>127000</xdr:rowOff>
    </xdr:to>
    <xdr:sp macro="" textlink="">
      <xdr:nvSpPr>
        <xdr:cNvPr id="51" name="OpenSolver50">
          <a:extLst>
            <a:ext uri="{FF2B5EF4-FFF2-40B4-BE49-F238E27FC236}">
              <a16:creationId xmlns:a16="http://schemas.microsoft.com/office/drawing/2014/main" id="{C40F9B1B-0FB1-862A-75A2-89B640E5B74D}"/>
            </a:ext>
          </a:extLst>
        </xdr:cNvPr>
        <xdr:cNvSpPr/>
      </xdr:nvSpPr>
      <xdr:spPr>
        <a:xfrm>
          <a:off x="2598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37</xdr:col>
      <xdr:colOff>6350</xdr:colOff>
      <xdr:row>1</xdr:row>
      <xdr:rowOff>12700</xdr:rowOff>
    </xdr:from>
    <xdr:to>
      <xdr:col>37</xdr:col>
      <xdr:colOff>91310</xdr:colOff>
      <xdr:row>1</xdr:row>
      <xdr:rowOff>127000</xdr:rowOff>
    </xdr:to>
    <xdr:sp macro="" textlink="">
      <xdr:nvSpPr>
        <xdr:cNvPr id="52" name="OpenSolver51">
          <a:extLst>
            <a:ext uri="{FF2B5EF4-FFF2-40B4-BE49-F238E27FC236}">
              <a16:creationId xmlns:a16="http://schemas.microsoft.com/office/drawing/2014/main" id="{42CF5CF8-410D-3F64-CC9B-6D43F49CABC1}"/>
            </a:ext>
          </a:extLst>
        </xdr:cNvPr>
        <xdr:cNvSpPr/>
      </xdr:nvSpPr>
      <xdr:spPr>
        <a:xfrm>
          <a:off x="2669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38</xdr:col>
      <xdr:colOff>15875</xdr:colOff>
      <xdr:row>1</xdr:row>
      <xdr:rowOff>12700</xdr:rowOff>
    </xdr:from>
    <xdr:to>
      <xdr:col>38</xdr:col>
      <xdr:colOff>100835</xdr:colOff>
      <xdr:row>1</xdr:row>
      <xdr:rowOff>127000</xdr:rowOff>
    </xdr:to>
    <xdr:sp macro="" textlink="">
      <xdr:nvSpPr>
        <xdr:cNvPr id="53" name="OpenSolver52">
          <a:extLst>
            <a:ext uri="{FF2B5EF4-FFF2-40B4-BE49-F238E27FC236}">
              <a16:creationId xmlns:a16="http://schemas.microsoft.com/office/drawing/2014/main" id="{427ECC97-6511-15BF-A1F9-8FAB5EBB506B}"/>
            </a:ext>
          </a:extLst>
        </xdr:cNvPr>
        <xdr:cNvSpPr/>
      </xdr:nvSpPr>
      <xdr:spPr>
        <a:xfrm>
          <a:off x="2741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39</xdr:col>
      <xdr:colOff>12700</xdr:colOff>
      <xdr:row>1</xdr:row>
      <xdr:rowOff>12700</xdr:rowOff>
    </xdr:from>
    <xdr:to>
      <xdr:col>39</xdr:col>
      <xdr:colOff>97660</xdr:colOff>
      <xdr:row>1</xdr:row>
      <xdr:rowOff>127000</xdr:rowOff>
    </xdr:to>
    <xdr:sp macro="" textlink="">
      <xdr:nvSpPr>
        <xdr:cNvPr id="54" name="OpenSolver53">
          <a:extLst>
            <a:ext uri="{FF2B5EF4-FFF2-40B4-BE49-F238E27FC236}">
              <a16:creationId xmlns:a16="http://schemas.microsoft.com/office/drawing/2014/main" id="{C5A56600-94DC-C1BD-E3E6-DE0C7EF0ECC9}"/>
            </a:ext>
          </a:extLst>
        </xdr:cNvPr>
        <xdr:cNvSpPr/>
      </xdr:nvSpPr>
      <xdr:spPr>
        <a:xfrm>
          <a:off x="2813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40</xdr:col>
      <xdr:colOff>9525</xdr:colOff>
      <xdr:row>1</xdr:row>
      <xdr:rowOff>12700</xdr:rowOff>
    </xdr:from>
    <xdr:to>
      <xdr:col>40</xdr:col>
      <xdr:colOff>94485</xdr:colOff>
      <xdr:row>1</xdr:row>
      <xdr:rowOff>127000</xdr:rowOff>
    </xdr:to>
    <xdr:sp macro="" textlink="">
      <xdr:nvSpPr>
        <xdr:cNvPr id="55" name="OpenSolver54">
          <a:extLst>
            <a:ext uri="{FF2B5EF4-FFF2-40B4-BE49-F238E27FC236}">
              <a16:creationId xmlns:a16="http://schemas.microsoft.com/office/drawing/2014/main" id="{D1CCAAC0-0439-8BA1-F114-B96595E4CF91}"/>
            </a:ext>
          </a:extLst>
        </xdr:cNvPr>
        <xdr:cNvSpPr/>
      </xdr:nvSpPr>
      <xdr:spPr>
        <a:xfrm>
          <a:off x="2884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41</xdr:col>
      <xdr:colOff>19050</xdr:colOff>
      <xdr:row>1</xdr:row>
      <xdr:rowOff>12700</xdr:rowOff>
    </xdr:from>
    <xdr:to>
      <xdr:col>41</xdr:col>
      <xdr:colOff>104010</xdr:colOff>
      <xdr:row>1</xdr:row>
      <xdr:rowOff>127000</xdr:rowOff>
    </xdr:to>
    <xdr:sp macro="" textlink="">
      <xdr:nvSpPr>
        <xdr:cNvPr id="56" name="OpenSolver55">
          <a:extLst>
            <a:ext uri="{FF2B5EF4-FFF2-40B4-BE49-F238E27FC236}">
              <a16:creationId xmlns:a16="http://schemas.microsoft.com/office/drawing/2014/main" id="{3ECDB7BE-0CF4-E0B6-5EBE-4F118703DC99}"/>
            </a:ext>
          </a:extLst>
        </xdr:cNvPr>
        <xdr:cNvSpPr/>
      </xdr:nvSpPr>
      <xdr:spPr>
        <a:xfrm>
          <a:off x="2956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42</xdr:col>
      <xdr:colOff>15875</xdr:colOff>
      <xdr:row>1</xdr:row>
      <xdr:rowOff>12700</xdr:rowOff>
    </xdr:from>
    <xdr:to>
      <xdr:col>42</xdr:col>
      <xdr:colOff>100835</xdr:colOff>
      <xdr:row>1</xdr:row>
      <xdr:rowOff>127000</xdr:rowOff>
    </xdr:to>
    <xdr:sp macro="" textlink="">
      <xdr:nvSpPr>
        <xdr:cNvPr id="57" name="OpenSolver56">
          <a:extLst>
            <a:ext uri="{FF2B5EF4-FFF2-40B4-BE49-F238E27FC236}">
              <a16:creationId xmlns:a16="http://schemas.microsoft.com/office/drawing/2014/main" id="{AF58B4DB-4F9F-5F77-F9D2-960D32F06C26}"/>
            </a:ext>
          </a:extLst>
        </xdr:cNvPr>
        <xdr:cNvSpPr/>
      </xdr:nvSpPr>
      <xdr:spPr>
        <a:xfrm>
          <a:off x="3027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43</xdr:col>
      <xdr:colOff>12700</xdr:colOff>
      <xdr:row>1</xdr:row>
      <xdr:rowOff>12700</xdr:rowOff>
    </xdr:from>
    <xdr:to>
      <xdr:col>43</xdr:col>
      <xdr:colOff>97660</xdr:colOff>
      <xdr:row>1</xdr:row>
      <xdr:rowOff>127000</xdr:rowOff>
    </xdr:to>
    <xdr:sp macro="" textlink="">
      <xdr:nvSpPr>
        <xdr:cNvPr id="58" name="OpenSolver57">
          <a:extLst>
            <a:ext uri="{FF2B5EF4-FFF2-40B4-BE49-F238E27FC236}">
              <a16:creationId xmlns:a16="http://schemas.microsoft.com/office/drawing/2014/main" id="{87A3D4DD-068F-0E0D-538B-E8A9A4F08CA2}"/>
            </a:ext>
          </a:extLst>
        </xdr:cNvPr>
        <xdr:cNvSpPr/>
      </xdr:nvSpPr>
      <xdr:spPr>
        <a:xfrm>
          <a:off x="3098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44</xdr:col>
      <xdr:colOff>9525</xdr:colOff>
      <xdr:row>1</xdr:row>
      <xdr:rowOff>12700</xdr:rowOff>
    </xdr:from>
    <xdr:to>
      <xdr:col>44</xdr:col>
      <xdr:colOff>94485</xdr:colOff>
      <xdr:row>1</xdr:row>
      <xdr:rowOff>127000</xdr:rowOff>
    </xdr:to>
    <xdr:sp macro="" textlink="">
      <xdr:nvSpPr>
        <xdr:cNvPr id="59" name="OpenSolver58">
          <a:extLst>
            <a:ext uri="{FF2B5EF4-FFF2-40B4-BE49-F238E27FC236}">
              <a16:creationId xmlns:a16="http://schemas.microsoft.com/office/drawing/2014/main" id="{015F6425-D939-A737-5A1D-7DC94AC6A721}"/>
            </a:ext>
          </a:extLst>
        </xdr:cNvPr>
        <xdr:cNvSpPr/>
      </xdr:nvSpPr>
      <xdr:spPr>
        <a:xfrm>
          <a:off x="3169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45</xdr:col>
      <xdr:colOff>6350</xdr:colOff>
      <xdr:row>1</xdr:row>
      <xdr:rowOff>12700</xdr:rowOff>
    </xdr:from>
    <xdr:to>
      <xdr:col>45</xdr:col>
      <xdr:colOff>91310</xdr:colOff>
      <xdr:row>1</xdr:row>
      <xdr:rowOff>127000</xdr:rowOff>
    </xdr:to>
    <xdr:sp macro="" textlink="">
      <xdr:nvSpPr>
        <xdr:cNvPr id="60" name="OpenSolver59">
          <a:extLst>
            <a:ext uri="{FF2B5EF4-FFF2-40B4-BE49-F238E27FC236}">
              <a16:creationId xmlns:a16="http://schemas.microsoft.com/office/drawing/2014/main" id="{3F5E5A61-CD8F-7A76-E3F1-2E22C9C81916}"/>
            </a:ext>
          </a:extLst>
        </xdr:cNvPr>
        <xdr:cNvSpPr/>
      </xdr:nvSpPr>
      <xdr:spPr>
        <a:xfrm>
          <a:off x="3241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46</xdr:col>
      <xdr:colOff>15875</xdr:colOff>
      <xdr:row>1</xdr:row>
      <xdr:rowOff>12700</xdr:rowOff>
    </xdr:from>
    <xdr:to>
      <xdr:col>46</xdr:col>
      <xdr:colOff>100835</xdr:colOff>
      <xdr:row>1</xdr:row>
      <xdr:rowOff>127000</xdr:rowOff>
    </xdr:to>
    <xdr:sp macro="" textlink="">
      <xdr:nvSpPr>
        <xdr:cNvPr id="61" name="OpenSolver60">
          <a:extLst>
            <a:ext uri="{FF2B5EF4-FFF2-40B4-BE49-F238E27FC236}">
              <a16:creationId xmlns:a16="http://schemas.microsoft.com/office/drawing/2014/main" id="{F949004F-71EC-25B8-7829-93B41019A320}"/>
            </a:ext>
          </a:extLst>
        </xdr:cNvPr>
        <xdr:cNvSpPr/>
      </xdr:nvSpPr>
      <xdr:spPr>
        <a:xfrm>
          <a:off x="3313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47</xdr:col>
      <xdr:colOff>12700</xdr:colOff>
      <xdr:row>1</xdr:row>
      <xdr:rowOff>12700</xdr:rowOff>
    </xdr:from>
    <xdr:to>
      <xdr:col>47</xdr:col>
      <xdr:colOff>97660</xdr:colOff>
      <xdr:row>1</xdr:row>
      <xdr:rowOff>127000</xdr:rowOff>
    </xdr:to>
    <xdr:sp macro="" textlink="">
      <xdr:nvSpPr>
        <xdr:cNvPr id="62" name="OpenSolver61">
          <a:extLst>
            <a:ext uri="{FF2B5EF4-FFF2-40B4-BE49-F238E27FC236}">
              <a16:creationId xmlns:a16="http://schemas.microsoft.com/office/drawing/2014/main" id="{32EC3FCD-BF23-794C-A588-E7A87352FEC1}"/>
            </a:ext>
          </a:extLst>
        </xdr:cNvPr>
        <xdr:cNvSpPr/>
      </xdr:nvSpPr>
      <xdr:spPr>
        <a:xfrm>
          <a:off x="3384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48</xdr:col>
      <xdr:colOff>9525</xdr:colOff>
      <xdr:row>1</xdr:row>
      <xdr:rowOff>12700</xdr:rowOff>
    </xdr:from>
    <xdr:to>
      <xdr:col>48</xdr:col>
      <xdr:colOff>94485</xdr:colOff>
      <xdr:row>1</xdr:row>
      <xdr:rowOff>127000</xdr:rowOff>
    </xdr:to>
    <xdr:sp macro="" textlink="">
      <xdr:nvSpPr>
        <xdr:cNvPr id="63" name="OpenSolver62">
          <a:extLst>
            <a:ext uri="{FF2B5EF4-FFF2-40B4-BE49-F238E27FC236}">
              <a16:creationId xmlns:a16="http://schemas.microsoft.com/office/drawing/2014/main" id="{E48E1BC9-803A-4E1A-9D4F-01DC5056158A}"/>
            </a:ext>
          </a:extLst>
        </xdr:cNvPr>
        <xdr:cNvSpPr/>
      </xdr:nvSpPr>
      <xdr:spPr>
        <a:xfrm>
          <a:off x="3455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49</xdr:col>
      <xdr:colOff>19050</xdr:colOff>
      <xdr:row>1</xdr:row>
      <xdr:rowOff>12700</xdr:rowOff>
    </xdr:from>
    <xdr:to>
      <xdr:col>49</xdr:col>
      <xdr:colOff>104010</xdr:colOff>
      <xdr:row>1</xdr:row>
      <xdr:rowOff>127000</xdr:rowOff>
    </xdr:to>
    <xdr:sp macro="" textlink="">
      <xdr:nvSpPr>
        <xdr:cNvPr id="64" name="OpenSolver63">
          <a:extLst>
            <a:ext uri="{FF2B5EF4-FFF2-40B4-BE49-F238E27FC236}">
              <a16:creationId xmlns:a16="http://schemas.microsoft.com/office/drawing/2014/main" id="{4C1B711A-A0DB-3682-9F91-CD2BA4DA35BA}"/>
            </a:ext>
          </a:extLst>
        </xdr:cNvPr>
        <xdr:cNvSpPr/>
      </xdr:nvSpPr>
      <xdr:spPr>
        <a:xfrm>
          <a:off x="3528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50</xdr:col>
      <xdr:colOff>15875</xdr:colOff>
      <xdr:row>1</xdr:row>
      <xdr:rowOff>12700</xdr:rowOff>
    </xdr:from>
    <xdr:to>
      <xdr:col>50</xdr:col>
      <xdr:colOff>100835</xdr:colOff>
      <xdr:row>1</xdr:row>
      <xdr:rowOff>127000</xdr:rowOff>
    </xdr:to>
    <xdr:sp macro="" textlink="">
      <xdr:nvSpPr>
        <xdr:cNvPr id="65" name="OpenSolver64">
          <a:extLst>
            <a:ext uri="{FF2B5EF4-FFF2-40B4-BE49-F238E27FC236}">
              <a16:creationId xmlns:a16="http://schemas.microsoft.com/office/drawing/2014/main" id="{04DEA162-74BA-7900-A6AE-B8F16450796B}"/>
            </a:ext>
          </a:extLst>
        </xdr:cNvPr>
        <xdr:cNvSpPr/>
      </xdr:nvSpPr>
      <xdr:spPr>
        <a:xfrm>
          <a:off x="3599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51</xdr:col>
      <xdr:colOff>12700</xdr:colOff>
      <xdr:row>1</xdr:row>
      <xdr:rowOff>12700</xdr:rowOff>
    </xdr:from>
    <xdr:to>
      <xdr:col>51</xdr:col>
      <xdr:colOff>97660</xdr:colOff>
      <xdr:row>1</xdr:row>
      <xdr:rowOff>127000</xdr:rowOff>
    </xdr:to>
    <xdr:sp macro="" textlink="">
      <xdr:nvSpPr>
        <xdr:cNvPr id="66" name="OpenSolver65">
          <a:extLst>
            <a:ext uri="{FF2B5EF4-FFF2-40B4-BE49-F238E27FC236}">
              <a16:creationId xmlns:a16="http://schemas.microsoft.com/office/drawing/2014/main" id="{47755DF3-95A3-481D-774C-5132BD7E087B}"/>
            </a:ext>
          </a:extLst>
        </xdr:cNvPr>
        <xdr:cNvSpPr/>
      </xdr:nvSpPr>
      <xdr:spPr>
        <a:xfrm>
          <a:off x="3670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52</xdr:col>
      <xdr:colOff>9525</xdr:colOff>
      <xdr:row>1</xdr:row>
      <xdr:rowOff>12700</xdr:rowOff>
    </xdr:from>
    <xdr:to>
      <xdr:col>52</xdr:col>
      <xdr:colOff>94485</xdr:colOff>
      <xdr:row>1</xdr:row>
      <xdr:rowOff>127000</xdr:rowOff>
    </xdr:to>
    <xdr:sp macro="" textlink="">
      <xdr:nvSpPr>
        <xdr:cNvPr id="67" name="OpenSolver66">
          <a:extLst>
            <a:ext uri="{FF2B5EF4-FFF2-40B4-BE49-F238E27FC236}">
              <a16:creationId xmlns:a16="http://schemas.microsoft.com/office/drawing/2014/main" id="{A34A3F2D-1B8C-406A-D01F-A721C072AA91}"/>
            </a:ext>
          </a:extLst>
        </xdr:cNvPr>
        <xdr:cNvSpPr/>
      </xdr:nvSpPr>
      <xdr:spPr>
        <a:xfrm>
          <a:off x="3741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53</xdr:col>
      <xdr:colOff>6350</xdr:colOff>
      <xdr:row>1</xdr:row>
      <xdr:rowOff>12700</xdr:rowOff>
    </xdr:from>
    <xdr:to>
      <xdr:col>53</xdr:col>
      <xdr:colOff>91310</xdr:colOff>
      <xdr:row>1</xdr:row>
      <xdr:rowOff>127000</xdr:rowOff>
    </xdr:to>
    <xdr:sp macro="" textlink="">
      <xdr:nvSpPr>
        <xdr:cNvPr id="68" name="OpenSolver67">
          <a:extLst>
            <a:ext uri="{FF2B5EF4-FFF2-40B4-BE49-F238E27FC236}">
              <a16:creationId xmlns:a16="http://schemas.microsoft.com/office/drawing/2014/main" id="{F3ACFCD8-C8BF-29BB-2062-094BFD719EB8}"/>
            </a:ext>
          </a:extLst>
        </xdr:cNvPr>
        <xdr:cNvSpPr/>
      </xdr:nvSpPr>
      <xdr:spPr>
        <a:xfrm>
          <a:off x="3812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54</xdr:col>
      <xdr:colOff>15875</xdr:colOff>
      <xdr:row>1</xdr:row>
      <xdr:rowOff>12700</xdr:rowOff>
    </xdr:from>
    <xdr:to>
      <xdr:col>54</xdr:col>
      <xdr:colOff>100835</xdr:colOff>
      <xdr:row>1</xdr:row>
      <xdr:rowOff>127000</xdr:rowOff>
    </xdr:to>
    <xdr:sp macro="" textlink="">
      <xdr:nvSpPr>
        <xdr:cNvPr id="69" name="OpenSolver68">
          <a:extLst>
            <a:ext uri="{FF2B5EF4-FFF2-40B4-BE49-F238E27FC236}">
              <a16:creationId xmlns:a16="http://schemas.microsoft.com/office/drawing/2014/main" id="{0C56DD35-5EAF-9BBE-6449-A4B4C461A842}"/>
            </a:ext>
          </a:extLst>
        </xdr:cNvPr>
        <xdr:cNvSpPr/>
      </xdr:nvSpPr>
      <xdr:spPr>
        <a:xfrm>
          <a:off x="3884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55</xdr:col>
      <xdr:colOff>12700</xdr:colOff>
      <xdr:row>1</xdr:row>
      <xdr:rowOff>12700</xdr:rowOff>
    </xdr:from>
    <xdr:to>
      <xdr:col>55</xdr:col>
      <xdr:colOff>97660</xdr:colOff>
      <xdr:row>1</xdr:row>
      <xdr:rowOff>127000</xdr:rowOff>
    </xdr:to>
    <xdr:sp macro="" textlink="">
      <xdr:nvSpPr>
        <xdr:cNvPr id="70" name="OpenSolver69">
          <a:extLst>
            <a:ext uri="{FF2B5EF4-FFF2-40B4-BE49-F238E27FC236}">
              <a16:creationId xmlns:a16="http://schemas.microsoft.com/office/drawing/2014/main" id="{1A8C3C4F-8100-CE4E-FD03-416BFF64B46A}"/>
            </a:ext>
          </a:extLst>
        </xdr:cNvPr>
        <xdr:cNvSpPr/>
      </xdr:nvSpPr>
      <xdr:spPr>
        <a:xfrm>
          <a:off x="3956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56</xdr:col>
      <xdr:colOff>9525</xdr:colOff>
      <xdr:row>1</xdr:row>
      <xdr:rowOff>12700</xdr:rowOff>
    </xdr:from>
    <xdr:to>
      <xdr:col>56</xdr:col>
      <xdr:colOff>94485</xdr:colOff>
      <xdr:row>1</xdr:row>
      <xdr:rowOff>127000</xdr:rowOff>
    </xdr:to>
    <xdr:sp macro="" textlink="">
      <xdr:nvSpPr>
        <xdr:cNvPr id="71" name="OpenSolver70">
          <a:extLst>
            <a:ext uri="{FF2B5EF4-FFF2-40B4-BE49-F238E27FC236}">
              <a16:creationId xmlns:a16="http://schemas.microsoft.com/office/drawing/2014/main" id="{D27DD211-19C2-30D0-69C7-1578740EAC77}"/>
            </a:ext>
          </a:extLst>
        </xdr:cNvPr>
        <xdr:cNvSpPr/>
      </xdr:nvSpPr>
      <xdr:spPr>
        <a:xfrm>
          <a:off x="4027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57</xdr:col>
      <xdr:colOff>19050</xdr:colOff>
      <xdr:row>1</xdr:row>
      <xdr:rowOff>12700</xdr:rowOff>
    </xdr:from>
    <xdr:to>
      <xdr:col>57</xdr:col>
      <xdr:colOff>104010</xdr:colOff>
      <xdr:row>1</xdr:row>
      <xdr:rowOff>127000</xdr:rowOff>
    </xdr:to>
    <xdr:sp macro="" textlink="">
      <xdr:nvSpPr>
        <xdr:cNvPr id="72" name="OpenSolver71">
          <a:extLst>
            <a:ext uri="{FF2B5EF4-FFF2-40B4-BE49-F238E27FC236}">
              <a16:creationId xmlns:a16="http://schemas.microsoft.com/office/drawing/2014/main" id="{7A6E39DD-1D77-8036-5710-BE0D615DFF07}"/>
            </a:ext>
          </a:extLst>
        </xdr:cNvPr>
        <xdr:cNvSpPr/>
      </xdr:nvSpPr>
      <xdr:spPr>
        <a:xfrm>
          <a:off x="4099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58</xdr:col>
      <xdr:colOff>15875</xdr:colOff>
      <xdr:row>1</xdr:row>
      <xdr:rowOff>12700</xdr:rowOff>
    </xdr:from>
    <xdr:to>
      <xdr:col>58</xdr:col>
      <xdr:colOff>100835</xdr:colOff>
      <xdr:row>1</xdr:row>
      <xdr:rowOff>127000</xdr:rowOff>
    </xdr:to>
    <xdr:sp macro="" textlink="">
      <xdr:nvSpPr>
        <xdr:cNvPr id="73" name="OpenSolver72">
          <a:extLst>
            <a:ext uri="{FF2B5EF4-FFF2-40B4-BE49-F238E27FC236}">
              <a16:creationId xmlns:a16="http://schemas.microsoft.com/office/drawing/2014/main" id="{649DDF6B-C6C3-C63B-C441-6C27980C8CB3}"/>
            </a:ext>
          </a:extLst>
        </xdr:cNvPr>
        <xdr:cNvSpPr/>
      </xdr:nvSpPr>
      <xdr:spPr>
        <a:xfrm>
          <a:off x="4170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59</xdr:col>
      <xdr:colOff>12700</xdr:colOff>
      <xdr:row>1</xdr:row>
      <xdr:rowOff>12700</xdr:rowOff>
    </xdr:from>
    <xdr:to>
      <xdr:col>59</xdr:col>
      <xdr:colOff>97660</xdr:colOff>
      <xdr:row>1</xdr:row>
      <xdr:rowOff>127000</xdr:rowOff>
    </xdr:to>
    <xdr:sp macro="" textlink="">
      <xdr:nvSpPr>
        <xdr:cNvPr id="74" name="OpenSolver73">
          <a:extLst>
            <a:ext uri="{FF2B5EF4-FFF2-40B4-BE49-F238E27FC236}">
              <a16:creationId xmlns:a16="http://schemas.microsoft.com/office/drawing/2014/main" id="{BFAAC62B-8739-9853-A64D-06FFA294B6B7}"/>
            </a:ext>
          </a:extLst>
        </xdr:cNvPr>
        <xdr:cNvSpPr/>
      </xdr:nvSpPr>
      <xdr:spPr>
        <a:xfrm>
          <a:off x="4241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60</xdr:col>
      <xdr:colOff>9525</xdr:colOff>
      <xdr:row>1</xdr:row>
      <xdr:rowOff>12700</xdr:rowOff>
    </xdr:from>
    <xdr:to>
      <xdr:col>60</xdr:col>
      <xdr:colOff>94485</xdr:colOff>
      <xdr:row>1</xdr:row>
      <xdr:rowOff>127000</xdr:rowOff>
    </xdr:to>
    <xdr:sp macro="" textlink="">
      <xdr:nvSpPr>
        <xdr:cNvPr id="75" name="OpenSolver74">
          <a:extLst>
            <a:ext uri="{FF2B5EF4-FFF2-40B4-BE49-F238E27FC236}">
              <a16:creationId xmlns:a16="http://schemas.microsoft.com/office/drawing/2014/main" id="{F6127BE9-B292-D33B-DF4B-CBCD7BA1B2B6}"/>
            </a:ext>
          </a:extLst>
        </xdr:cNvPr>
        <xdr:cNvSpPr/>
      </xdr:nvSpPr>
      <xdr:spPr>
        <a:xfrm>
          <a:off x="4312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61</xdr:col>
      <xdr:colOff>6350</xdr:colOff>
      <xdr:row>1</xdr:row>
      <xdr:rowOff>12700</xdr:rowOff>
    </xdr:from>
    <xdr:to>
      <xdr:col>61</xdr:col>
      <xdr:colOff>91310</xdr:colOff>
      <xdr:row>1</xdr:row>
      <xdr:rowOff>127000</xdr:rowOff>
    </xdr:to>
    <xdr:sp macro="" textlink="">
      <xdr:nvSpPr>
        <xdr:cNvPr id="76" name="OpenSolver75">
          <a:extLst>
            <a:ext uri="{FF2B5EF4-FFF2-40B4-BE49-F238E27FC236}">
              <a16:creationId xmlns:a16="http://schemas.microsoft.com/office/drawing/2014/main" id="{A6B47CEE-14EB-785B-52F1-3DAD1A45FE1A}"/>
            </a:ext>
          </a:extLst>
        </xdr:cNvPr>
        <xdr:cNvSpPr/>
      </xdr:nvSpPr>
      <xdr:spPr>
        <a:xfrm>
          <a:off x="4384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62</xdr:col>
      <xdr:colOff>15875</xdr:colOff>
      <xdr:row>1</xdr:row>
      <xdr:rowOff>12700</xdr:rowOff>
    </xdr:from>
    <xdr:to>
      <xdr:col>62</xdr:col>
      <xdr:colOff>100835</xdr:colOff>
      <xdr:row>1</xdr:row>
      <xdr:rowOff>127000</xdr:rowOff>
    </xdr:to>
    <xdr:sp macro="" textlink="">
      <xdr:nvSpPr>
        <xdr:cNvPr id="77" name="OpenSolver76">
          <a:extLst>
            <a:ext uri="{FF2B5EF4-FFF2-40B4-BE49-F238E27FC236}">
              <a16:creationId xmlns:a16="http://schemas.microsoft.com/office/drawing/2014/main" id="{65640802-3465-2E99-7C00-9E2D318DE129}"/>
            </a:ext>
          </a:extLst>
        </xdr:cNvPr>
        <xdr:cNvSpPr/>
      </xdr:nvSpPr>
      <xdr:spPr>
        <a:xfrm>
          <a:off x="4456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63</xdr:col>
      <xdr:colOff>12700</xdr:colOff>
      <xdr:row>1</xdr:row>
      <xdr:rowOff>12700</xdr:rowOff>
    </xdr:from>
    <xdr:to>
      <xdr:col>63</xdr:col>
      <xdr:colOff>97660</xdr:colOff>
      <xdr:row>1</xdr:row>
      <xdr:rowOff>127000</xdr:rowOff>
    </xdr:to>
    <xdr:sp macro="" textlink="">
      <xdr:nvSpPr>
        <xdr:cNvPr id="78" name="OpenSolver77">
          <a:extLst>
            <a:ext uri="{FF2B5EF4-FFF2-40B4-BE49-F238E27FC236}">
              <a16:creationId xmlns:a16="http://schemas.microsoft.com/office/drawing/2014/main" id="{CCFEEFC1-653F-576D-9B91-BD9D8E0236DD}"/>
            </a:ext>
          </a:extLst>
        </xdr:cNvPr>
        <xdr:cNvSpPr/>
      </xdr:nvSpPr>
      <xdr:spPr>
        <a:xfrm>
          <a:off x="4527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64</xdr:col>
      <xdr:colOff>9525</xdr:colOff>
      <xdr:row>1</xdr:row>
      <xdr:rowOff>12700</xdr:rowOff>
    </xdr:from>
    <xdr:to>
      <xdr:col>64</xdr:col>
      <xdr:colOff>94485</xdr:colOff>
      <xdr:row>1</xdr:row>
      <xdr:rowOff>127000</xdr:rowOff>
    </xdr:to>
    <xdr:sp macro="" textlink="">
      <xdr:nvSpPr>
        <xdr:cNvPr id="79" name="OpenSolver78">
          <a:extLst>
            <a:ext uri="{FF2B5EF4-FFF2-40B4-BE49-F238E27FC236}">
              <a16:creationId xmlns:a16="http://schemas.microsoft.com/office/drawing/2014/main" id="{5A2544DA-E1C2-EC97-6AA9-F9F3D2A8580A}"/>
            </a:ext>
          </a:extLst>
        </xdr:cNvPr>
        <xdr:cNvSpPr/>
      </xdr:nvSpPr>
      <xdr:spPr>
        <a:xfrm>
          <a:off x="4598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65</xdr:col>
      <xdr:colOff>19050</xdr:colOff>
      <xdr:row>1</xdr:row>
      <xdr:rowOff>12700</xdr:rowOff>
    </xdr:from>
    <xdr:to>
      <xdr:col>65</xdr:col>
      <xdr:colOff>104010</xdr:colOff>
      <xdr:row>1</xdr:row>
      <xdr:rowOff>127000</xdr:rowOff>
    </xdr:to>
    <xdr:sp macro="" textlink="">
      <xdr:nvSpPr>
        <xdr:cNvPr id="80" name="OpenSolver79">
          <a:extLst>
            <a:ext uri="{FF2B5EF4-FFF2-40B4-BE49-F238E27FC236}">
              <a16:creationId xmlns:a16="http://schemas.microsoft.com/office/drawing/2014/main" id="{6F8598E8-EF8B-A1B4-48CA-6F7CC1015BC5}"/>
            </a:ext>
          </a:extLst>
        </xdr:cNvPr>
        <xdr:cNvSpPr/>
      </xdr:nvSpPr>
      <xdr:spPr>
        <a:xfrm>
          <a:off x="4671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66</xdr:col>
      <xdr:colOff>15875</xdr:colOff>
      <xdr:row>1</xdr:row>
      <xdr:rowOff>12700</xdr:rowOff>
    </xdr:from>
    <xdr:to>
      <xdr:col>66</xdr:col>
      <xdr:colOff>100835</xdr:colOff>
      <xdr:row>1</xdr:row>
      <xdr:rowOff>127000</xdr:rowOff>
    </xdr:to>
    <xdr:sp macro="" textlink="">
      <xdr:nvSpPr>
        <xdr:cNvPr id="81" name="OpenSolver80">
          <a:extLst>
            <a:ext uri="{FF2B5EF4-FFF2-40B4-BE49-F238E27FC236}">
              <a16:creationId xmlns:a16="http://schemas.microsoft.com/office/drawing/2014/main" id="{C42BE6AE-E929-7E54-1867-286642184300}"/>
            </a:ext>
          </a:extLst>
        </xdr:cNvPr>
        <xdr:cNvSpPr/>
      </xdr:nvSpPr>
      <xdr:spPr>
        <a:xfrm>
          <a:off x="4742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67</xdr:col>
      <xdr:colOff>12700</xdr:colOff>
      <xdr:row>1</xdr:row>
      <xdr:rowOff>12700</xdr:rowOff>
    </xdr:from>
    <xdr:to>
      <xdr:col>67</xdr:col>
      <xdr:colOff>97660</xdr:colOff>
      <xdr:row>1</xdr:row>
      <xdr:rowOff>127000</xdr:rowOff>
    </xdr:to>
    <xdr:sp macro="" textlink="">
      <xdr:nvSpPr>
        <xdr:cNvPr id="82" name="OpenSolver81">
          <a:extLst>
            <a:ext uri="{FF2B5EF4-FFF2-40B4-BE49-F238E27FC236}">
              <a16:creationId xmlns:a16="http://schemas.microsoft.com/office/drawing/2014/main" id="{5E7EEE7A-BC5F-3AE3-73E9-EBB077601F9D}"/>
            </a:ext>
          </a:extLst>
        </xdr:cNvPr>
        <xdr:cNvSpPr/>
      </xdr:nvSpPr>
      <xdr:spPr>
        <a:xfrm>
          <a:off x="4813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68</xdr:col>
      <xdr:colOff>9525</xdr:colOff>
      <xdr:row>1</xdr:row>
      <xdr:rowOff>12700</xdr:rowOff>
    </xdr:from>
    <xdr:to>
      <xdr:col>68</xdr:col>
      <xdr:colOff>94485</xdr:colOff>
      <xdr:row>1</xdr:row>
      <xdr:rowOff>127000</xdr:rowOff>
    </xdr:to>
    <xdr:sp macro="" textlink="">
      <xdr:nvSpPr>
        <xdr:cNvPr id="83" name="OpenSolver82">
          <a:extLst>
            <a:ext uri="{FF2B5EF4-FFF2-40B4-BE49-F238E27FC236}">
              <a16:creationId xmlns:a16="http://schemas.microsoft.com/office/drawing/2014/main" id="{CB468185-7298-6AD1-5AB4-57C3434FCB53}"/>
            </a:ext>
          </a:extLst>
        </xdr:cNvPr>
        <xdr:cNvSpPr/>
      </xdr:nvSpPr>
      <xdr:spPr>
        <a:xfrm>
          <a:off x="4884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69</xdr:col>
      <xdr:colOff>6350</xdr:colOff>
      <xdr:row>1</xdr:row>
      <xdr:rowOff>12700</xdr:rowOff>
    </xdr:from>
    <xdr:to>
      <xdr:col>69</xdr:col>
      <xdr:colOff>91310</xdr:colOff>
      <xdr:row>1</xdr:row>
      <xdr:rowOff>127000</xdr:rowOff>
    </xdr:to>
    <xdr:sp macro="" textlink="">
      <xdr:nvSpPr>
        <xdr:cNvPr id="84" name="OpenSolver83">
          <a:extLst>
            <a:ext uri="{FF2B5EF4-FFF2-40B4-BE49-F238E27FC236}">
              <a16:creationId xmlns:a16="http://schemas.microsoft.com/office/drawing/2014/main" id="{EB049517-0185-5C43-92F8-BE7780B6BDAE}"/>
            </a:ext>
          </a:extLst>
        </xdr:cNvPr>
        <xdr:cNvSpPr/>
      </xdr:nvSpPr>
      <xdr:spPr>
        <a:xfrm>
          <a:off x="4955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70</xdr:col>
      <xdr:colOff>15875</xdr:colOff>
      <xdr:row>1</xdr:row>
      <xdr:rowOff>12700</xdr:rowOff>
    </xdr:from>
    <xdr:to>
      <xdr:col>70</xdr:col>
      <xdr:colOff>100835</xdr:colOff>
      <xdr:row>1</xdr:row>
      <xdr:rowOff>127000</xdr:rowOff>
    </xdr:to>
    <xdr:sp macro="" textlink="">
      <xdr:nvSpPr>
        <xdr:cNvPr id="85" name="OpenSolver84">
          <a:extLst>
            <a:ext uri="{FF2B5EF4-FFF2-40B4-BE49-F238E27FC236}">
              <a16:creationId xmlns:a16="http://schemas.microsoft.com/office/drawing/2014/main" id="{CE343FDB-37E1-F9A0-5705-65E53203A777}"/>
            </a:ext>
          </a:extLst>
        </xdr:cNvPr>
        <xdr:cNvSpPr/>
      </xdr:nvSpPr>
      <xdr:spPr>
        <a:xfrm>
          <a:off x="5027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71</xdr:col>
      <xdr:colOff>12700</xdr:colOff>
      <xdr:row>1</xdr:row>
      <xdr:rowOff>12700</xdr:rowOff>
    </xdr:from>
    <xdr:to>
      <xdr:col>71</xdr:col>
      <xdr:colOff>97660</xdr:colOff>
      <xdr:row>1</xdr:row>
      <xdr:rowOff>127000</xdr:rowOff>
    </xdr:to>
    <xdr:sp macro="" textlink="">
      <xdr:nvSpPr>
        <xdr:cNvPr id="86" name="OpenSolver85">
          <a:extLst>
            <a:ext uri="{FF2B5EF4-FFF2-40B4-BE49-F238E27FC236}">
              <a16:creationId xmlns:a16="http://schemas.microsoft.com/office/drawing/2014/main" id="{665CC4F0-F6D6-D6D1-9C7E-491020D6BA56}"/>
            </a:ext>
          </a:extLst>
        </xdr:cNvPr>
        <xdr:cNvSpPr/>
      </xdr:nvSpPr>
      <xdr:spPr>
        <a:xfrm>
          <a:off x="5099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72</xdr:col>
      <xdr:colOff>9525</xdr:colOff>
      <xdr:row>1</xdr:row>
      <xdr:rowOff>12700</xdr:rowOff>
    </xdr:from>
    <xdr:to>
      <xdr:col>72</xdr:col>
      <xdr:colOff>94485</xdr:colOff>
      <xdr:row>1</xdr:row>
      <xdr:rowOff>127000</xdr:rowOff>
    </xdr:to>
    <xdr:sp macro="" textlink="">
      <xdr:nvSpPr>
        <xdr:cNvPr id="87" name="OpenSolver86">
          <a:extLst>
            <a:ext uri="{FF2B5EF4-FFF2-40B4-BE49-F238E27FC236}">
              <a16:creationId xmlns:a16="http://schemas.microsoft.com/office/drawing/2014/main" id="{8DF0A9E3-9CB1-BF6F-71E4-F6C64F2E8612}"/>
            </a:ext>
          </a:extLst>
        </xdr:cNvPr>
        <xdr:cNvSpPr/>
      </xdr:nvSpPr>
      <xdr:spPr>
        <a:xfrm>
          <a:off x="5170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73</xdr:col>
      <xdr:colOff>19050</xdr:colOff>
      <xdr:row>1</xdr:row>
      <xdr:rowOff>12700</xdr:rowOff>
    </xdr:from>
    <xdr:to>
      <xdr:col>73</xdr:col>
      <xdr:colOff>104010</xdr:colOff>
      <xdr:row>1</xdr:row>
      <xdr:rowOff>127000</xdr:rowOff>
    </xdr:to>
    <xdr:sp macro="" textlink="">
      <xdr:nvSpPr>
        <xdr:cNvPr id="88" name="OpenSolver87">
          <a:extLst>
            <a:ext uri="{FF2B5EF4-FFF2-40B4-BE49-F238E27FC236}">
              <a16:creationId xmlns:a16="http://schemas.microsoft.com/office/drawing/2014/main" id="{AFC56FDA-652B-B413-BC14-B15C1C673C6B}"/>
            </a:ext>
          </a:extLst>
        </xdr:cNvPr>
        <xdr:cNvSpPr/>
      </xdr:nvSpPr>
      <xdr:spPr>
        <a:xfrm>
          <a:off x="5242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74</xdr:col>
      <xdr:colOff>15875</xdr:colOff>
      <xdr:row>1</xdr:row>
      <xdr:rowOff>12700</xdr:rowOff>
    </xdr:from>
    <xdr:to>
      <xdr:col>74</xdr:col>
      <xdr:colOff>100835</xdr:colOff>
      <xdr:row>1</xdr:row>
      <xdr:rowOff>127000</xdr:rowOff>
    </xdr:to>
    <xdr:sp macro="" textlink="">
      <xdr:nvSpPr>
        <xdr:cNvPr id="89" name="OpenSolver88">
          <a:extLst>
            <a:ext uri="{FF2B5EF4-FFF2-40B4-BE49-F238E27FC236}">
              <a16:creationId xmlns:a16="http://schemas.microsoft.com/office/drawing/2014/main" id="{8ECF5E34-774F-541E-1B97-7ACC3D8464AC}"/>
            </a:ext>
          </a:extLst>
        </xdr:cNvPr>
        <xdr:cNvSpPr/>
      </xdr:nvSpPr>
      <xdr:spPr>
        <a:xfrm>
          <a:off x="5313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75</xdr:col>
      <xdr:colOff>12700</xdr:colOff>
      <xdr:row>1</xdr:row>
      <xdr:rowOff>12700</xdr:rowOff>
    </xdr:from>
    <xdr:to>
      <xdr:col>75</xdr:col>
      <xdr:colOff>97660</xdr:colOff>
      <xdr:row>1</xdr:row>
      <xdr:rowOff>127000</xdr:rowOff>
    </xdr:to>
    <xdr:sp macro="" textlink="">
      <xdr:nvSpPr>
        <xdr:cNvPr id="90" name="OpenSolver89">
          <a:extLst>
            <a:ext uri="{FF2B5EF4-FFF2-40B4-BE49-F238E27FC236}">
              <a16:creationId xmlns:a16="http://schemas.microsoft.com/office/drawing/2014/main" id="{9731CF79-D391-2973-B4E7-6A15A3CD13D7}"/>
            </a:ext>
          </a:extLst>
        </xdr:cNvPr>
        <xdr:cNvSpPr/>
      </xdr:nvSpPr>
      <xdr:spPr>
        <a:xfrm>
          <a:off x="5384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76</xdr:col>
      <xdr:colOff>9525</xdr:colOff>
      <xdr:row>1</xdr:row>
      <xdr:rowOff>12700</xdr:rowOff>
    </xdr:from>
    <xdr:to>
      <xdr:col>76</xdr:col>
      <xdr:colOff>94485</xdr:colOff>
      <xdr:row>1</xdr:row>
      <xdr:rowOff>127000</xdr:rowOff>
    </xdr:to>
    <xdr:sp macro="" textlink="">
      <xdr:nvSpPr>
        <xdr:cNvPr id="91" name="OpenSolver90">
          <a:extLst>
            <a:ext uri="{FF2B5EF4-FFF2-40B4-BE49-F238E27FC236}">
              <a16:creationId xmlns:a16="http://schemas.microsoft.com/office/drawing/2014/main" id="{255CFB43-8BA2-BA8B-11E8-EC0D42479349}"/>
            </a:ext>
          </a:extLst>
        </xdr:cNvPr>
        <xdr:cNvSpPr/>
      </xdr:nvSpPr>
      <xdr:spPr>
        <a:xfrm>
          <a:off x="5455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77</xdr:col>
      <xdr:colOff>6350</xdr:colOff>
      <xdr:row>1</xdr:row>
      <xdr:rowOff>12700</xdr:rowOff>
    </xdr:from>
    <xdr:to>
      <xdr:col>77</xdr:col>
      <xdr:colOff>91310</xdr:colOff>
      <xdr:row>1</xdr:row>
      <xdr:rowOff>127000</xdr:rowOff>
    </xdr:to>
    <xdr:sp macro="" textlink="">
      <xdr:nvSpPr>
        <xdr:cNvPr id="92" name="OpenSolver91">
          <a:extLst>
            <a:ext uri="{FF2B5EF4-FFF2-40B4-BE49-F238E27FC236}">
              <a16:creationId xmlns:a16="http://schemas.microsoft.com/office/drawing/2014/main" id="{9948D697-BEF2-0511-42C6-4C69A25D50B3}"/>
            </a:ext>
          </a:extLst>
        </xdr:cNvPr>
        <xdr:cNvSpPr/>
      </xdr:nvSpPr>
      <xdr:spPr>
        <a:xfrm>
          <a:off x="5527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78</xdr:col>
      <xdr:colOff>15875</xdr:colOff>
      <xdr:row>1</xdr:row>
      <xdr:rowOff>12700</xdr:rowOff>
    </xdr:from>
    <xdr:to>
      <xdr:col>78</xdr:col>
      <xdr:colOff>100835</xdr:colOff>
      <xdr:row>1</xdr:row>
      <xdr:rowOff>127000</xdr:rowOff>
    </xdr:to>
    <xdr:sp macro="" textlink="">
      <xdr:nvSpPr>
        <xdr:cNvPr id="93" name="OpenSolver92">
          <a:extLst>
            <a:ext uri="{FF2B5EF4-FFF2-40B4-BE49-F238E27FC236}">
              <a16:creationId xmlns:a16="http://schemas.microsoft.com/office/drawing/2014/main" id="{DB068B68-331F-C418-938E-645A9663C4AE}"/>
            </a:ext>
          </a:extLst>
        </xdr:cNvPr>
        <xdr:cNvSpPr/>
      </xdr:nvSpPr>
      <xdr:spPr>
        <a:xfrm>
          <a:off x="5599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79</xdr:col>
      <xdr:colOff>12700</xdr:colOff>
      <xdr:row>1</xdr:row>
      <xdr:rowOff>12700</xdr:rowOff>
    </xdr:from>
    <xdr:to>
      <xdr:col>79</xdr:col>
      <xdr:colOff>97660</xdr:colOff>
      <xdr:row>1</xdr:row>
      <xdr:rowOff>127000</xdr:rowOff>
    </xdr:to>
    <xdr:sp macro="" textlink="">
      <xdr:nvSpPr>
        <xdr:cNvPr id="94" name="OpenSolver93">
          <a:extLst>
            <a:ext uri="{FF2B5EF4-FFF2-40B4-BE49-F238E27FC236}">
              <a16:creationId xmlns:a16="http://schemas.microsoft.com/office/drawing/2014/main" id="{219022B6-769F-6AEB-0A91-1C8DE3B2BE55}"/>
            </a:ext>
          </a:extLst>
        </xdr:cNvPr>
        <xdr:cNvSpPr/>
      </xdr:nvSpPr>
      <xdr:spPr>
        <a:xfrm>
          <a:off x="5670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80</xdr:col>
      <xdr:colOff>9525</xdr:colOff>
      <xdr:row>1</xdr:row>
      <xdr:rowOff>12700</xdr:rowOff>
    </xdr:from>
    <xdr:to>
      <xdr:col>80</xdr:col>
      <xdr:colOff>94485</xdr:colOff>
      <xdr:row>1</xdr:row>
      <xdr:rowOff>127000</xdr:rowOff>
    </xdr:to>
    <xdr:sp macro="" textlink="">
      <xdr:nvSpPr>
        <xdr:cNvPr id="95" name="OpenSolver94">
          <a:extLst>
            <a:ext uri="{FF2B5EF4-FFF2-40B4-BE49-F238E27FC236}">
              <a16:creationId xmlns:a16="http://schemas.microsoft.com/office/drawing/2014/main" id="{59E0B163-56B5-34DA-C649-ED0D31A617E9}"/>
            </a:ext>
          </a:extLst>
        </xdr:cNvPr>
        <xdr:cNvSpPr/>
      </xdr:nvSpPr>
      <xdr:spPr>
        <a:xfrm>
          <a:off x="5741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81</xdr:col>
      <xdr:colOff>19050</xdr:colOff>
      <xdr:row>1</xdr:row>
      <xdr:rowOff>12700</xdr:rowOff>
    </xdr:from>
    <xdr:to>
      <xdr:col>81</xdr:col>
      <xdr:colOff>104010</xdr:colOff>
      <xdr:row>1</xdr:row>
      <xdr:rowOff>127000</xdr:rowOff>
    </xdr:to>
    <xdr:sp macro="" textlink="">
      <xdr:nvSpPr>
        <xdr:cNvPr id="96" name="OpenSolver95">
          <a:extLst>
            <a:ext uri="{FF2B5EF4-FFF2-40B4-BE49-F238E27FC236}">
              <a16:creationId xmlns:a16="http://schemas.microsoft.com/office/drawing/2014/main" id="{2AC6A318-9ED5-75D3-05F7-535E15A0612C}"/>
            </a:ext>
          </a:extLst>
        </xdr:cNvPr>
        <xdr:cNvSpPr/>
      </xdr:nvSpPr>
      <xdr:spPr>
        <a:xfrm>
          <a:off x="5814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82</xdr:col>
      <xdr:colOff>15875</xdr:colOff>
      <xdr:row>1</xdr:row>
      <xdr:rowOff>12700</xdr:rowOff>
    </xdr:from>
    <xdr:to>
      <xdr:col>82</xdr:col>
      <xdr:colOff>100835</xdr:colOff>
      <xdr:row>1</xdr:row>
      <xdr:rowOff>127000</xdr:rowOff>
    </xdr:to>
    <xdr:sp macro="" textlink="">
      <xdr:nvSpPr>
        <xdr:cNvPr id="97" name="OpenSolver96">
          <a:extLst>
            <a:ext uri="{FF2B5EF4-FFF2-40B4-BE49-F238E27FC236}">
              <a16:creationId xmlns:a16="http://schemas.microsoft.com/office/drawing/2014/main" id="{686D440F-F785-018C-C18B-2873E04547EF}"/>
            </a:ext>
          </a:extLst>
        </xdr:cNvPr>
        <xdr:cNvSpPr/>
      </xdr:nvSpPr>
      <xdr:spPr>
        <a:xfrm>
          <a:off x="5885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83</xdr:col>
      <xdr:colOff>12700</xdr:colOff>
      <xdr:row>1</xdr:row>
      <xdr:rowOff>12700</xdr:rowOff>
    </xdr:from>
    <xdr:to>
      <xdr:col>83</xdr:col>
      <xdr:colOff>97660</xdr:colOff>
      <xdr:row>1</xdr:row>
      <xdr:rowOff>127000</xdr:rowOff>
    </xdr:to>
    <xdr:sp macro="" textlink="">
      <xdr:nvSpPr>
        <xdr:cNvPr id="98" name="OpenSolver97">
          <a:extLst>
            <a:ext uri="{FF2B5EF4-FFF2-40B4-BE49-F238E27FC236}">
              <a16:creationId xmlns:a16="http://schemas.microsoft.com/office/drawing/2014/main" id="{CEC12E7F-41D7-F6AB-51C5-6948B6A9ACDB}"/>
            </a:ext>
          </a:extLst>
        </xdr:cNvPr>
        <xdr:cNvSpPr/>
      </xdr:nvSpPr>
      <xdr:spPr>
        <a:xfrm>
          <a:off x="5956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84</xdr:col>
      <xdr:colOff>9525</xdr:colOff>
      <xdr:row>1</xdr:row>
      <xdr:rowOff>12700</xdr:rowOff>
    </xdr:from>
    <xdr:to>
      <xdr:col>84</xdr:col>
      <xdr:colOff>94485</xdr:colOff>
      <xdr:row>1</xdr:row>
      <xdr:rowOff>127000</xdr:rowOff>
    </xdr:to>
    <xdr:sp macro="" textlink="">
      <xdr:nvSpPr>
        <xdr:cNvPr id="99" name="OpenSolver98">
          <a:extLst>
            <a:ext uri="{FF2B5EF4-FFF2-40B4-BE49-F238E27FC236}">
              <a16:creationId xmlns:a16="http://schemas.microsoft.com/office/drawing/2014/main" id="{C2A4F8C2-B8E7-9E87-930B-49DBFA0A335E}"/>
            </a:ext>
          </a:extLst>
        </xdr:cNvPr>
        <xdr:cNvSpPr/>
      </xdr:nvSpPr>
      <xdr:spPr>
        <a:xfrm>
          <a:off x="6027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85</xdr:col>
      <xdr:colOff>6350</xdr:colOff>
      <xdr:row>1</xdr:row>
      <xdr:rowOff>12700</xdr:rowOff>
    </xdr:from>
    <xdr:to>
      <xdr:col>85</xdr:col>
      <xdr:colOff>91310</xdr:colOff>
      <xdr:row>1</xdr:row>
      <xdr:rowOff>127000</xdr:rowOff>
    </xdr:to>
    <xdr:sp macro="" textlink="">
      <xdr:nvSpPr>
        <xdr:cNvPr id="100" name="OpenSolver99">
          <a:extLst>
            <a:ext uri="{FF2B5EF4-FFF2-40B4-BE49-F238E27FC236}">
              <a16:creationId xmlns:a16="http://schemas.microsoft.com/office/drawing/2014/main" id="{A3FCB7ED-733B-CE97-778E-21BBB27CC17B}"/>
            </a:ext>
          </a:extLst>
        </xdr:cNvPr>
        <xdr:cNvSpPr/>
      </xdr:nvSpPr>
      <xdr:spPr>
        <a:xfrm>
          <a:off x="6098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86</xdr:col>
      <xdr:colOff>15875</xdr:colOff>
      <xdr:row>1</xdr:row>
      <xdr:rowOff>12700</xdr:rowOff>
    </xdr:from>
    <xdr:to>
      <xdr:col>86</xdr:col>
      <xdr:colOff>100835</xdr:colOff>
      <xdr:row>1</xdr:row>
      <xdr:rowOff>127000</xdr:rowOff>
    </xdr:to>
    <xdr:sp macro="" textlink="">
      <xdr:nvSpPr>
        <xdr:cNvPr id="101" name="OpenSolver100">
          <a:extLst>
            <a:ext uri="{FF2B5EF4-FFF2-40B4-BE49-F238E27FC236}">
              <a16:creationId xmlns:a16="http://schemas.microsoft.com/office/drawing/2014/main" id="{53ADE1DB-2D38-A56B-4698-21C339908A91}"/>
            </a:ext>
          </a:extLst>
        </xdr:cNvPr>
        <xdr:cNvSpPr/>
      </xdr:nvSpPr>
      <xdr:spPr>
        <a:xfrm>
          <a:off x="6170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87</xdr:col>
      <xdr:colOff>12700</xdr:colOff>
      <xdr:row>1</xdr:row>
      <xdr:rowOff>12700</xdr:rowOff>
    </xdr:from>
    <xdr:to>
      <xdr:col>87</xdr:col>
      <xdr:colOff>97660</xdr:colOff>
      <xdr:row>1</xdr:row>
      <xdr:rowOff>127000</xdr:rowOff>
    </xdr:to>
    <xdr:sp macro="" textlink="">
      <xdr:nvSpPr>
        <xdr:cNvPr id="102" name="OpenSolver101">
          <a:extLst>
            <a:ext uri="{FF2B5EF4-FFF2-40B4-BE49-F238E27FC236}">
              <a16:creationId xmlns:a16="http://schemas.microsoft.com/office/drawing/2014/main" id="{2C1961BC-3503-F10D-9DAD-4C51400850D6}"/>
            </a:ext>
          </a:extLst>
        </xdr:cNvPr>
        <xdr:cNvSpPr/>
      </xdr:nvSpPr>
      <xdr:spPr>
        <a:xfrm>
          <a:off x="6242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88</xdr:col>
      <xdr:colOff>9525</xdr:colOff>
      <xdr:row>1</xdr:row>
      <xdr:rowOff>12700</xdr:rowOff>
    </xdr:from>
    <xdr:to>
      <xdr:col>88</xdr:col>
      <xdr:colOff>94485</xdr:colOff>
      <xdr:row>1</xdr:row>
      <xdr:rowOff>127000</xdr:rowOff>
    </xdr:to>
    <xdr:sp macro="" textlink="">
      <xdr:nvSpPr>
        <xdr:cNvPr id="103" name="OpenSolver102">
          <a:extLst>
            <a:ext uri="{FF2B5EF4-FFF2-40B4-BE49-F238E27FC236}">
              <a16:creationId xmlns:a16="http://schemas.microsoft.com/office/drawing/2014/main" id="{FF577B6F-16A9-F3FA-BCC0-C9DC08ED4FDD}"/>
            </a:ext>
          </a:extLst>
        </xdr:cNvPr>
        <xdr:cNvSpPr/>
      </xdr:nvSpPr>
      <xdr:spPr>
        <a:xfrm>
          <a:off x="6313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89</xdr:col>
      <xdr:colOff>19050</xdr:colOff>
      <xdr:row>1</xdr:row>
      <xdr:rowOff>12700</xdr:rowOff>
    </xdr:from>
    <xdr:to>
      <xdr:col>89</xdr:col>
      <xdr:colOff>104010</xdr:colOff>
      <xdr:row>1</xdr:row>
      <xdr:rowOff>127000</xdr:rowOff>
    </xdr:to>
    <xdr:sp macro="" textlink="">
      <xdr:nvSpPr>
        <xdr:cNvPr id="104" name="OpenSolver103">
          <a:extLst>
            <a:ext uri="{FF2B5EF4-FFF2-40B4-BE49-F238E27FC236}">
              <a16:creationId xmlns:a16="http://schemas.microsoft.com/office/drawing/2014/main" id="{0E00E73C-65F3-C837-0279-66C369FAA9B7}"/>
            </a:ext>
          </a:extLst>
        </xdr:cNvPr>
        <xdr:cNvSpPr/>
      </xdr:nvSpPr>
      <xdr:spPr>
        <a:xfrm>
          <a:off x="6385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90</xdr:col>
      <xdr:colOff>15875</xdr:colOff>
      <xdr:row>1</xdr:row>
      <xdr:rowOff>12700</xdr:rowOff>
    </xdr:from>
    <xdr:to>
      <xdr:col>90</xdr:col>
      <xdr:colOff>100835</xdr:colOff>
      <xdr:row>1</xdr:row>
      <xdr:rowOff>127000</xdr:rowOff>
    </xdr:to>
    <xdr:sp macro="" textlink="">
      <xdr:nvSpPr>
        <xdr:cNvPr id="105" name="OpenSolver104">
          <a:extLst>
            <a:ext uri="{FF2B5EF4-FFF2-40B4-BE49-F238E27FC236}">
              <a16:creationId xmlns:a16="http://schemas.microsoft.com/office/drawing/2014/main" id="{BE323927-0329-29CA-7AF4-459553E3D5AA}"/>
            </a:ext>
          </a:extLst>
        </xdr:cNvPr>
        <xdr:cNvSpPr/>
      </xdr:nvSpPr>
      <xdr:spPr>
        <a:xfrm>
          <a:off x="6456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91</xdr:col>
      <xdr:colOff>12700</xdr:colOff>
      <xdr:row>1</xdr:row>
      <xdr:rowOff>12700</xdr:rowOff>
    </xdr:from>
    <xdr:to>
      <xdr:col>91</xdr:col>
      <xdr:colOff>97660</xdr:colOff>
      <xdr:row>1</xdr:row>
      <xdr:rowOff>127000</xdr:rowOff>
    </xdr:to>
    <xdr:sp macro="" textlink="">
      <xdr:nvSpPr>
        <xdr:cNvPr id="106" name="OpenSolver105">
          <a:extLst>
            <a:ext uri="{FF2B5EF4-FFF2-40B4-BE49-F238E27FC236}">
              <a16:creationId xmlns:a16="http://schemas.microsoft.com/office/drawing/2014/main" id="{3B10A2D3-FF82-8D96-BB7D-2EAED2EC35F7}"/>
            </a:ext>
          </a:extLst>
        </xdr:cNvPr>
        <xdr:cNvSpPr/>
      </xdr:nvSpPr>
      <xdr:spPr>
        <a:xfrm>
          <a:off x="6527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92</xdr:col>
      <xdr:colOff>9525</xdr:colOff>
      <xdr:row>1</xdr:row>
      <xdr:rowOff>12700</xdr:rowOff>
    </xdr:from>
    <xdr:to>
      <xdr:col>92</xdr:col>
      <xdr:colOff>94485</xdr:colOff>
      <xdr:row>1</xdr:row>
      <xdr:rowOff>127000</xdr:rowOff>
    </xdr:to>
    <xdr:sp macro="" textlink="">
      <xdr:nvSpPr>
        <xdr:cNvPr id="107" name="OpenSolver106">
          <a:extLst>
            <a:ext uri="{FF2B5EF4-FFF2-40B4-BE49-F238E27FC236}">
              <a16:creationId xmlns:a16="http://schemas.microsoft.com/office/drawing/2014/main" id="{7139976A-5B78-F022-19A3-E934E7917604}"/>
            </a:ext>
          </a:extLst>
        </xdr:cNvPr>
        <xdr:cNvSpPr/>
      </xdr:nvSpPr>
      <xdr:spPr>
        <a:xfrm>
          <a:off x="6598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93</xdr:col>
      <xdr:colOff>6350</xdr:colOff>
      <xdr:row>1</xdr:row>
      <xdr:rowOff>12700</xdr:rowOff>
    </xdr:from>
    <xdr:to>
      <xdr:col>93</xdr:col>
      <xdr:colOff>91310</xdr:colOff>
      <xdr:row>1</xdr:row>
      <xdr:rowOff>127000</xdr:rowOff>
    </xdr:to>
    <xdr:sp macro="" textlink="">
      <xdr:nvSpPr>
        <xdr:cNvPr id="108" name="OpenSolver107">
          <a:extLst>
            <a:ext uri="{FF2B5EF4-FFF2-40B4-BE49-F238E27FC236}">
              <a16:creationId xmlns:a16="http://schemas.microsoft.com/office/drawing/2014/main" id="{30DBCD14-C566-4F50-E7FC-ABB23AE7A394}"/>
            </a:ext>
          </a:extLst>
        </xdr:cNvPr>
        <xdr:cNvSpPr/>
      </xdr:nvSpPr>
      <xdr:spPr>
        <a:xfrm>
          <a:off x="6670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94</xdr:col>
      <xdr:colOff>15875</xdr:colOff>
      <xdr:row>1</xdr:row>
      <xdr:rowOff>12700</xdr:rowOff>
    </xdr:from>
    <xdr:to>
      <xdr:col>94</xdr:col>
      <xdr:colOff>100835</xdr:colOff>
      <xdr:row>1</xdr:row>
      <xdr:rowOff>127000</xdr:rowOff>
    </xdr:to>
    <xdr:sp macro="" textlink="">
      <xdr:nvSpPr>
        <xdr:cNvPr id="109" name="OpenSolver108">
          <a:extLst>
            <a:ext uri="{FF2B5EF4-FFF2-40B4-BE49-F238E27FC236}">
              <a16:creationId xmlns:a16="http://schemas.microsoft.com/office/drawing/2014/main" id="{89DD9406-198C-B83B-AD35-819198C9C9F8}"/>
            </a:ext>
          </a:extLst>
        </xdr:cNvPr>
        <xdr:cNvSpPr/>
      </xdr:nvSpPr>
      <xdr:spPr>
        <a:xfrm>
          <a:off x="6742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95</xdr:col>
      <xdr:colOff>12700</xdr:colOff>
      <xdr:row>1</xdr:row>
      <xdr:rowOff>12700</xdr:rowOff>
    </xdr:from>
    <xdr:to>
      <xdr:col>95</xdr:col>
      <xdr:colOff>97660</xdr:colOff>
      <xdr:row>1</xdr:row>
      <xdr:rowOff>127000</xdr:rowOff>
    </xdr:to>
    <xdr:sp macro="" textlink="">
      <xdr:nvSpPr>
        <xdr:cNvPr id="110" name="OpenSolver109">
          <a:extLst>
            <a:ext uri="{FF2B5EF4-FFF2-40B4-BE49-F238E27FC236}">
              <a16:creationId xmlns:a16="http://schemas.microsoft.com/office/drawing/2014/main" id="{9CC7AB7D-49FB-D442-2ACF-CDFA946BAEB5}"/>
            </a:ext>
          </a:extLst>
        </xdr:cNvPr>
        <xdr:cNvSpPr/>
      </xdr:nvSpPr>
      <xdr:spPr>
        <a:xfrm>
          <a:off x="6813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96</xdr:col>
      <xdr:colOff>9525</xdr:colOff>
      <xdr:row>1</xdr:row>
      <xdr:rowOff>12700</xdr:rowOff>
    </xdr:from>
    <xdr:to>
      <xdr:col>96</xdr:col>
      <xdr:colOff>94485</xdr:colOff>
      <xdr:row>1</xdr:row>
      <xdr:rowOff>127000</xdr:rowOff>
    </xdr:to>
    <xdr:sp macro="" textlink="">
      <xdr:nvSpPr>
        <xdr:cNvPr id="111" name="OpenSolver110">
          <a:extLst>
            <a:ext uri="{FF2B5EF4-FFF2-40B4-BE49-F238E27FC236}">
              <a16:creationId xmlns:a16="http://schemas.microsoft.com/office/drawing/2014/main" id="{A16F6E1D-EBF0-21E9-F975-6D981BBE6CF5}"/>
            </a:ext>
          </a:extLst>
        </xdr:cNvPr>
        <xdr:cNvSpPr/>
      </xdr:nvSpPr>
      <xdr:spPr>
        <a:xfrm>
          <a:off x="6884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97</xdr:col>
      <xdr:colOff>19050</xdr:colOff>
      <xdr:row>1</xdr:row>
      <xdr:rowOff>12700</xdr:rowOff>
    </xdr:from>
    <xdr:to>
      <xdr:col>97</xdr:col>
      <xdr:colOff>104010</xdr:colOff>
      <xdr:row>1</xdr:row>
      <xdr:rowOff>127000</xdr:rowOff>
    </xdr:to>
    <xdr:sp macro="" textlink="">
      <xdr:nvSpPr>
        <xdr:cNvPr id="112" name="OpenSolver111">
          <a:extLst>
            <a:ext uri="{FF2B5EF4-FFF2-40B4-BE49-F238E27FC236}">
              <a16:creationId xmlns:a16="http://schemas.microsoft.com/office/drawing/2014/main" id="{0F2B7CA1-193D-B947-02C0-4EC5AF5A3ED4}"/>
            </a:ext>
          </a:extLst>
        </xdr:cNvPr>
        <xdr:cNvSpPr/>
      </xdr:nvSpPr>
      <xdr:spPr>
        <a:xfrm>
          <a:off x="6957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98</xdr:col>
      <xdr:colOff>15875</xdr:colOff>
      <xdr:row>1</xdr:row>
      <xdr:rowOff>12700</xdr:rowOff>
    </xdr:from>
    <xdr:to>
      <xdr:col>98</xdr:col>
      <xdr:colOff>100835</xdr:colOff>
      <xdr:row>1</xdr:row>
      <xdr:rowOff>127000</xdr:rowOff>
    </xdr:to>
    <xdr:sp macro="" textlink="">
      <xdr:nvSpPr>
        <xdr:cNvPr id="113" name="OpenSolver112">
          <a:extLst>
            <a:ext uri="{FF2B5EF4-FFF2-40B4-BE49-F238E27FC236}">
              <a16:creationId xmlns:a16="http://schemas.microsoft.com/office/drawing/2014/main" id="{116B808B-E91C-355C-6EEE-8FB29D80DA52}"/>
            </a:ext>
          </a:extLst>
        </xdr:cNvPr>
        <xdr:cNvSpPr/>
      </xdr:nvSpPr>
      <xdr:spPr>
        <a:xfrm>
          <a:off x="7028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99</xdr:col>
      <xdr:colOff>12700</xdr:colOff>
      <xdr:row>1</xdr:row>
      <xdr:rowOff>12700</xdr:rowOff>
    </xdr:from>
    <xdr:to>
      <xdr:col>99</xdr:col>
      <xdr:colOff>97660</xdr:colOff>
      <xdr:row>1</xdr:row>
      <xdr:rowOff>127000</xdr:rowOff>
    </xdr:to>
    <xdr:sp macro="" textlink="">
      <xdr:nvSpPr>
        <xdr:cNvPr id="114" name="OpenSolver113">
          <a:extLst>
            <a:ext uri="{FF2B5EF4-FFF2-40B4-BE49-F238E27FC236}">
              <a16:creationId xmlns:a16="http://schemas.microsoft.com/office/drawing/2014/main" id="{FBD5055A-62A3-9DEB-CF5D-52DC3DBC216E}"/>
            </a:ext>
          </a:extLst>
        </xdr:cNvPr>
        <xdr:cNvSpPr/>
      </xdr:nvSpPr>
      <xdr:spPr>
        <a:xfrm>
          <a:off x="7099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100</xdr:col>
      <xdr:colOff>9525</xdr:colOff>
      <xdr:row>1</xdr:row>
      <xdr:rowOff>12700</xdr:rowOff>
    </xdr:from>
    <xdr:to>
      <xdr:col>100</xdr:col>
      <xdr:colOff>94485</xdr:colOff>
      <xdr:row>1</xdr:row>
      <xdr:rowOff>127000</xdr:rowOff>
    </xdr:to>
    <xdr:sp macro="" textlink="">
      <xdr:nvSpPr>
        <xdr:cNvPr id="115" name="OpenSolver114">
          <a:extLst>
            <a:ext uri="{FF2B5EF4-FFF2-40B4-BE49-F238E27FC236}">
              <a16:creationId xmlns:a16="http://schemas.microsoft.com/office/drawing/2014/main" id="{5CB2B66C-47DA-941A-E28E-BE1CFD56A46D}"/>
            </a:ext>
          </a:extLst>
        </xdr:cNvPr>
        <xdr:cNvSpPr/>
      </xdr:nvSpPr>
      <xdr:spPr>
        <a:xfrm>
          <a:off x="7170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101</xdr:col>
      <xdr:colOff>6350</xdr:colOff>
      <xdr:row>1</xdr:row>
      <xdr:rowOff>12700</xdr:rowOff>
    </xdr:from>
    <xdr:to>
      <xdr:col>101</xdr:col>
      <xdr:colOff>91310</xdr:colOff>
      <xdr:row>1</xdr:row>
      <xdr:rowOff>127000</xdr:rowOff>
    </xdr:to>
    <xdr:sp macro="" textlink="">
      <xdr:nvSpPr>
        <xdr:cNvPr id="116" name="OpenSolver115">
          <a:extLst>
            <a:ext uri="{FF2B5EF4-FFF2-40B4-BE49-F238E27FC236}">
              <a16:creationId xmlns:a16="http://schemas.microsoft.com/office/drawing/2014/main" id="{E3E06210-F0C9-4CA7-F4F8-8B36850F99AF}"/>
            </a:ext>
          </a:extLst>
        </xdr:cNvPr>
        <xdr:cNvSpPr/>
      </xdr:nvSpPr>
      <xdr:spPr>
        <a:xfrm>
          <a:off x="7241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102</xdr:col>
      <xdr:colOff>15875</xdr:colOff>
      <xdr:row>1</xdr:row>
      <xdr:rowOff>12700</xdr:rowOff>
    </xdr:from>
    <xdr:to>
      <xdr:col>102</xdr:col>
      <xdr:colOff>100835</xdr:colOff>
      <xdr:row>1</xdr:row>
      <xdr:rowOff>127000</xdr:rowOff>
    </xdr:to>
    <xdr:sp macro="" textlink="">
      <xdr:nvSpPr>
        <xdr:cNvPr id="117" name="OpenSolver116">
          <a:extLst>
            <a:ext uri="{FF2B5EF4-FFF2-40B4-BE49-F238E27FC236}">
              <a16:creationId xmlns:a16="http://schemas.microsoft.com/office/drawing/2014/main" id="{403CC657-04D2-B4BC-E8BF-DBE09101D272}"/>
            </a:ext>
          </a:extLst>
        </xdr:cNvPr>
        <xdr:cNvSpPr/>
      </xdr:nvSpPr>
      <xdr:spPr>
        <a:xfrm>
          <a:off x="7313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103</xdr:col>
      <xdr:colOff>12700</xdr:colOff>
      <xdr:row>1</xdr:row>
      <xdr:rowOff>12700</xdr:rowOff>
    </xdr:from>
    <xdr:to>
      <xdr:col>103</xdr:col>
      <xdr:colOff>97660</xdr:colOff>
      <xdr:row>1</xdr:row>
      <xdr:rowOff>127000</xdr:rowOff>
    </xdr:to>
    <xdr:sp macro="" textlink="">
      <xdr:nvSpPr>
        <xdr:cNvPr id="118" name="OpenSolver117">
          <a:extLst>
            <a:ext uri="{FF2B5EF4-FFF2-40B4-BE49-F238E27FC236}">
              <a16:creationId xmlns:a16="http://schemas.microsoft.com/office/drawing/2014/main" id="{38F5FBF5-962F-E145-8C2B-60D14DD3D561}"/>
            </a:ext>
          </a:extLst>
        </xdr:cNvPr>
        <xdr:cNvSpPr/>
      </xdr:nvSpPr>
      <xdr:spPr>
        <a:xfrm>
          <a:off x="7385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104</xdr:col>
      <xdr:colOff>9525</xdr:colOff>
      <xdr:row>1</xdr:row>
      <xdr:rowOff>12700</xdr:rowOff>
    </xdr:from>
    <xdr:to>
      <xdr:col>104</xdr:col>
      <xdr:colOff>94485</xdr:colOff>
      <xdr:row>1</xdr:row>
      <xdr:rowOff>127000</xdr:rowOff>
    </xdr:to>
    <xdr:sp macro="" textlink="">
      <xdr:nvSpPr>
        <xdr:cNvPr id="119" name="OpenSolver118">
          <a:extLst>
            <a:ext uri="{FF2B5EF4-FFF2-40B4-BE49-F238E27FC236}">
              <a16:creationId xmlns:a16="http://schemas.microsoft.com/office/drawing/2014/main" id="{DDB4D9BD-4DA5-7591-92C9-2D1B48CDA469}"/>
            </a:ext>
          </a:extLst>
        </xdr:cNvPr>
        <xdr:cNvSpPr/>
      </xdr:nvSpPr>
      <xdr:spPr>
        <a:xfrm>
          <a:off x="7456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105</xdr:col>
      <xdr:colOff>19050</xdr:colOff>
      <xdr:row>1</xdr:row>
      <xdr:rowOff>12700</xdr:rowOff>
    </xdr:from>
    <xdr:to>
      <xdr:col>105</xdr:col>
      <xdr:colOff>104010</xdr:colOff>
      <xdr:row>1</xdr:row>
      <xdr:rowOff>127000</xdr:rowOff>
    </xdr:to>
    <xdr:sp macro="" textlink="">
      <xdr:nvSpPr>
        <xdr:cNvPr id="120" name="OpenSolver119">
          <a:extLst>
            <a:ext uri="{FF2B5EF4-FFF2-40B4-BE49-F238E27FC236}">
              <a16:creationId xmlns:a16="http://schemas.microsoft.com/office/drawing/2014/main" id="{781B5A8E-09C3-65EA-E0EF-DADEAE677329}"/>
            </a:ext>
          </a:extLst>
        </xdr:cNvPr>
        <xdr:cNvSpPr/>
      </xdr:nvSpPr>
      <xdr:spPr>
        <a:xfrm>
          <a:off x="7528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106</xdr:col>
      <xdr:colOff>15875</xdr:colOff>
      <xdr:row>1</xdr:row>
      <xdr:rowOff>12700</xdr:rowOff>
    </xdr:from>
    <xdr:to>
      <xdr:col>106</xdr:col>
      <xdr:colOff>100835</xdr:colOff>
      <xdr:row>1</xdr:row>
      <xdr:rowOff>127000</xdr:rowOff>
    </xdr:to>
    <xdr:sp macro="" textlink="">
      <xdr:nvSpPr>
        <xdr:cNvPr id="121" name="OpenSolver120">
          <a:extLst>
            <a:ext uri="{FF2B5EF4-FFF2-40B4-BE49-F238E27FC236}">
              <a16:creationId xmlns:a16="http://schemas.microsoft.com/office/drawing/2014/main" id="{0D08C8AE-218A-7A42-0E33-8CBDF6588D80}"/>
            </a:ext>
          </a:extLst>
        </xdr:cNvPr>
        <xdr:cNvSpPr/>
      </xdr:nvSpPr>
      <xdr:spPr>
        <a:xfrm>
          <a:off x="7599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107</xdr:col>
      <xdr:colOff>12700</xdr:colOff>
      <xdr:row>1</xdr:row>
      <xdr:rowOff>12700</xdr:rowOff>
    </xdr:from>
    <xdr:to>
      <xdr:col>107</xdr:col>
      <xdr:colOff>97660</xdr:colOff>
      <xdr:row>1</xdr:row>
      <xdr:rowOff>127000</xdr:rowOff>
    </xdr:to>
    <xdr:sp macro="" textlink="">
      <xdr:nvSpPr>
        <xdr:cNvPr id="122" name="OpenSolver121">
          <a:extLst>
            <a:ext uri="{FF2B5EF4-FFF2-40B4-BE49-F238E27FC236}">
              <a16:creationId xmlns:a16="http://schemas.microsoft.com/office/drawing/2014/main" id="{0DA09CDA-C8F0-082C-0242-0554F9B4CEEF}"/>
            </a:ext>
          </a:extLst>
        </xdr:cNvPr>
        <xdr:cNvSpPr/>
      </xdr:nvSpPr>
      <xdr:spPr>
        <a:xfrm>
          <a:off x="7670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108</xdr:col>
      <xdr:colOff>9525</xdr:colOff>
      <xdr:row>1</xdr:row>
      <xdr:rowOff>12700</xdr:rowOff>
    </xdr:from>
    <xdr:to>
      <xdr:col>108</xdr:col>
      <xdr:colOff>94485</xdr:colOff>
      <xdr:row>1</xdr:row>
      <xdr:rowOff>127000</xdr:rowOff>
    </xdr:to>
    <xdr:sp macro="" textlink="">
      <xdr:nvSpPr>
        <xdr:cNvPr id="123" name="OpenSolver122">
          <a:extLst>
            <a:ext uri="{FF2B5EF4-FFF2-40B4-BE49-F238E27FC236}">
              <a16:creationId xmlns:a16="http://schemas.microsoft.com/office/drawing/2014/main" id="{F305D5DC-FB11-AF80-492A-BD629F7971E3}"/>
            </a:ext>
          </a:extLst>
        </xdr:cNvPr>
        <xdr:cNvSpPr/>
      </xdr:nvSpPr>
      <xdr:spPr>
        <a:xfrm>
          <a:off x="7741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109</xdr:col>
      <xdr:colOff>6350</xdr:colOff>
      <xdr:row>1</xdr:row>
      <xdr:rowOff>12700</xdr:rowOff>
    </xdr:from>
    <xdr:to>
      <xdr:col>109</xdr:col>
      <xdr:colOff>91310</xdr:colOff>
      <xdr:row>1</xdr:row>
      <xdr:rowOff>127000</xdr:rowOff>
    </xdr:to>
    <xdr:sp macro="" textlink="">
      <xdr:nvSpPr>
        <xdr:cNvPr id="124" name="OpenSolver123">
          <a:extLst>
            <a:ext uri="{FF2B5EF4-FFF2-40B4-BE49-F238E27FC236}">
              <a16:creationId xmlns:a16="http://schemas.microsoft.com/office/drawing/2014/main" id="{366F4A3D-6FA3-49CA-FD75-121EFD6F7366}"/>
            </a:ext>
          </a:extLst>
        </xdr:cNvPr>
        <xdr:cNvSpPr/>
      </xdr:nvSpPr>
      <xdr:spPr>
        <a:xfrm>
          <a:off x="7813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110</xdr:col>
      <xdr:colOff>15875</xdr:colOff>
      <xdr:row>1</xdr:row>
      <xdr:rowOff>12700</xdr:rowOff>
    </xdr:from>
    <xdr:to>
      <xdr:col>110</xdr:col>
      <xdr:colOff>100835</xdr:colOff>
      <xdr:row>1</xdr:row>
      <xdr:rowOff>127000</xdr:rowOff>
    </xdr:to>
    <xdr:sp macro="" textlink="">
      <xdr:nvSpPr>
        <xdr:cNvPr id="125" name="OpenSolver124">
          <a:extLst>
            <a:ext uri="{FF2B5EF4-FFF2-40B4-BE49-F238E27FC236}">
              <a16:creationId xmlns:a16="http://schemas.microsoft.com/office/drawing/2014/main" id="{2A561EB8-9CD1-EF9A-86C3-3192AA7DEEEB}"/>
            </a:ext>
          </a:extLst>
        </xdr:cNvPr>
        <xdr:cNvSpPr/>
      </xdr:nvSpPr>
      <xdr:spPr>
        <a:xfrm>
          <a:off x="7885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111</xdr:col>
      <xdr:colOff>12700</xdr:colOff>
      <xdr:row>1</xdr:row>
      <xdr:rowOff>12700</xdr:rowOff>
    </xdr:from>
    <xdr:to>
      <xdr:col>111</xdr:col>
      <xdr:colOff>97660</xdr:colOff>
      <xdr:row>1</xdr:row>
      <xdr:rowOff>127000</xdr:rowOff>
    </xdr:to>
    <xdr:sp macro="" textlink="">
      <xdr:nvSpPr>
        <xdr:cNvPr id="126" name="OpenSolver125">
          <a:extLst>
            <a:ext uri="{FF2B5EF4-FFF2-40B4-BE49-F238E27FC236}">
              <a16:creationId xmlns:a16="http://schemas.microsoft.com/office/drawing/2014/main" id="{1F384603-7D05-0653-7721-A3B4BAF7E2CA}"/>
            </a:ext>
          </a:extLst>
        </xdr:cNvPr>
        <xdr:cNvSpPr/>
      </xdr:nvSpPr>
      <xdr:spPr>
        <a:xfrm>
          <a:off x="7956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112</xdr:col>
      <xdr:colOff>9525</xdr:colOff>
      <xdr:row>1</xdr:row>
      <xdr:rowOff>12700</xdr:rowOff>
    </xdr:from>
    <xdr:to>
      <xdr:col>112</xdr:col>
      <xdr:colOff>94485</xdr:colOff>
      <xdr:row>1</xdr:row>
      <xdr:rowOff>127000</xdr:rowOff>
    </xdr:to>
    <xdr:sp macro="" textlink="">
      <xdr:nvSpPr>
        <xdr:cNvPr id="127" name="OpenSolver126">
          <a:extLst>
            <a:ext uri="{FF2B5EF4-FFF2-40B4-BE49-F238E27FC236}">
              <a16:creationId xmlns:a16="http://schemas.microsoft.com/office/drawing/2014/main" id="{56993632-DD7B-DB9A-A7CF-0FA3050F7F07}"/>
            </a:ext>
          </a:extLst>
        </xdr:cNvPr>
        <xdr:cNvSpPr/>
      </xdr:nvSpPr>
      <xdr:spPr>
        <a:xfrm>
          <a:off x="8027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113</xdr:col>
      <xdr:colOff>19050</xdr:colOff>
      <xdr:row>1</xdr:row>
      <xdr:rowOff>12700</xdr:rowOff>
    </xdr:from>
    <xdr:to>
      <xdr:col>113</xdr:col>
      <xdr:colOff>104010</xdr:colOff>
      <xdr:row>1</xdr:row>
      <xdr:rowOff>127000</xdr:rowOff>
    </xdr:to>
    <xdr:sp macro="" textlink="">
      <xdr:nvSpPr>
        <xdr:cNvPr id="128" name="OpenSolver127">
          <a:extLst>
            <a:ext uri="{FF2B5EF4-FFF2-40B4-BE49-F238E27FC236}">
              <a16:creationId xmlns:a16="http://schemas.microsoft.com/office/drawing/2014/main" id="{D1439487-DB6D-516A-45C9-23249D6C22E3}"/>
            </a:ext>
          </a:extLst>
        </xdr:cNvPr>
        <xdr:cNvSpPr/>
      </xdr:nvSpPr>
      <xdr:spPr>
        <a:xfrm>
          <a:off x="8100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114</xdr:col>
      <xdr:colOff>15875</xdr:colOff>
      <xdr:row>1</xdr:row>
      <xdr:rowOff>12700</xdr:rowOff>
    </xdr:from>
    <xdr:to>
      <xdr:col>114</xdr:col>
      <xdr:colOff>100835</xdr:colOff>
      <xdr:row>1</xdr:row>
      <xdr:rowOff>127000</xdr:rowOff>
    </xdr:to>
    <xdr:sp macro="" textlink="">
      <xdr:nvSpPr>
        <xdr:cNvPr id="129" name="OpenSolver128">
          <a:extLst>
            <a:ext uri="{FF2B5EF4-FFF2-40B4-BE49-F238E27FC236}">
              <a16:creationId xmlns:a16="http://schemas.microsoft.com/office/drawing/2014/main" id="{B27CB640-42C3-78A6-63AC-5F0BECAA7FFA}"/>
            </a:ext>
          </a:extLst>
        </xdr:cNvPr>
        <xdr:cNvSpPr/>
      </xdr:nvSpPr>
      <xdr:spPr>
        <a:xfrm>
          <a:off x="8171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115</xdr:col>
      <xdr:colOff>12700</xdr:colOff>
      <xdr:row>1</xdr:row>
      <xdr:rowOff>12700</xdr:rowOff>
    </xdr:from>
    <xdr:to>
      <xdr:col>115</xdr:col>
      <xdr:colOff>97660</xdr:colOff>
      <xdr:row>1</xdr:row>
      <xdr:rowOff>127000</xdr:rowOff>
    </xdr:to>
    <xdr:sp macro="" textlink="">
      <xdr:nvSpPr>
        <xdr:cNvPr id="130" name="OpenSolver129">
          <a:extLst>
            <a:ext uri="{FF2B5EF4-FFF2-40B4-BE49-F238E27FC236}">
              <a16:creationId xmlns:a16="http://schemas.microsoft.com/office/drawing/2014/main" id="{23D9523B-07CE-1492-1841-9BC0692214AD}"/>
            </a:ext>
          </a:extLst>
        </xdr:cNvPr>
        <xdr:cNvSpPr/>
      </xdr:nvSpPr>
      <xdr:spPr>
        <a:xfrm>
          <a:off x="8242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116</xdr:col>
      <xdr:colOff>9525</xdr:colOff>
      <xdr:row>1</xdr:row>
      <xdr:rowOff>12700</xdr:rowOff>
    </xdr:from>
    <xdr:to>
      <xdr:col>116</xdr:col>
      <xdr:colOff>94485</xdr:colOff>
      <xdr:row>1</xdr:row>
      <xdr:rowOff>127000</xdr:rowOff>
    </xdr:to>
    <xdr:sp macro="" textlink="">
      <xdr:nvSpPr>
        <xdr:cNvPr id="131" name="OpenSolver130">
          <a:extLst>
            <a:ext uri="{FF2B5EF4-FFF2-40B4-BE49-F238E27FC236}">
              <a16:creationId xmlns:a16="http://schemas.microsoft.com/office/drawing/2014/main" id="{D9529A6A-F3E3-D471-E704-C8CB12F657B0}"/>
            </a:ext>
          </a:extLst>
        </xdr:cNvPr>
        <xdr:cNvSpPr/>
      </xdr:nvSpPr>
      <xdr:spPr>
        <a:xfrm>
          <a:off x="8313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117</xdr:col>
      <xdr:colOff>6350</xdr:colOff>
      <xdr:row>1</xdr:row>
      <xdr:rowOff>12700</xdr:rowOff>
    </xdr:from>
    <xdr:to>
      <xdr:col>117</xdr:col>
      <xdr:colOff>91310</xdr:colOff>
      <xdr:row>1</xdr:row>
      <xdr:rowOff>127000</xdr:rowOff>
    </xdr:to>
    <xdr:sp macro="" textlink="">
      <xdr:nvSpPr>
        <xdr:cNvPr id="132" name="OpenSolver131">
          <a:extLst>
            <a:ext uri="{FF2B5EF4-FFF2-40B4-BE49-F238E27FC236}">
              <a16:creationId xmlns:a16="http://schemas.microsoft.com/office/drawing/2014/main" id="{D4D01FA1-9040-4113-F9A1-8BD4AC30FD9D}"/>
            </a:ext>
          </a:extLst>
        </xdr:cNvPr>
        <xdr:cNvSpPr/>
      </xdr:nvSpPr>
      <xdr:spPr>
        <a:xfrm>
          <a:off x="8384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118</xdr:col>
      <xdr:colOff>15875</xdr:colOff>
      <xdr:row>1</xdr:row>
      <xdr:rowOff>12700</xdr:rowOff>
    </xdr:from>
    <xdr:to>
      <xdr:col>118</xdr:col>
      <xdr:colOff>100835</xdr:colOff>
      <xdr:row>1</xdr:row>
      <xdr:rowOff>127000</xdr:rowOff>
    </xdr:to>
    <xdr:sp macro="" textlink="">
      <xdr:nvSpPr>
        <xdr:cNvPr id="133" name="OpenSolver132">
          <a:extLst>
            <a:ext uri="{FF2B5EF4-FFF2-40B4-BE49-F238E27FC236}">
              <a16:creationId xmlns:a16="http://schemas.microsoft.com/office/drawing/2014/main" id="{55F0332C-BB01-5C13-384E-7F0ECDC5D5E8}"/>
            </a:ext>
          </a:extLst>
        </xdr:cNvPr>
        <xdr:cNvSpPr/>
      </xdr:nvSpPr>
      <xdr:spPr>
        <a:xfrm>
          <a:off x="8456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119</xdr:col>
      <xdr:colOff>12700</xdr:colOff>
      <xdr:row>1</xdr:row>
      <xdr:rowOff>12700</xdr:rowOff>
    </xdr:from>
    <xdr:to>
      <xdr:col>119</xdr:col>
      <xdr:colOff>97660</xdr:colOff>
      <xdr:row>1</xdr:row>
      <xdr:rowOff>127000</xdr:rowOff>
    </xdr:to>
    <xdr:sp macro="" textlink="">
      <xdr:nvSpPr>
        <xdr:cNvPr id="134" name="OpenSolver133">
          <a:extLst>
            <a:ext uri="{FF2B5EF4-FFF2-40B4-BE49-F238E27FC236}">
              <a16:creationId xmlns:a16="http://schemas.microsoft.com/office/drawing/2014/main" id="{FC7BF453-DF43-EF95-C3C2-8E874580B5C5}"/>
            </a:ext>
          </a:extLst>
        </xdr:cNvPr>
        <xdr:cNvSpPr/>
      </xdr:nvSpPr>
      <xdr:spPr>
        <a:xfrm>
          <a:off x="8528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120</xdr:col>
      <xdr:colOff>9525</xdr:colOff>
      <xdr:row>1</xdr:row>
      <xdr:rowOff>12700</xdr:rowOff>
    </xdr:from>
    <xdr:to>
      <xdr:col>120</xdr:col>
      <xdr:colOff>94485</xdr:colOff>
      <xdr:row>1</xdr:row>
      <xdr:rowOff>127000</xdr:rowOff>
    </xdr:to>
    <xdr:sp macro="" textlink="">
      <xdr:nvSpPr>
        <xdr:cNvPr id="135" name="OpenSolver134">
          <a:extLst>
            <a:ext uri="{FF2B5EF4-FFF2-40B4-BE49-F238E27FC236}">
              <a16:creationId xmlns:a16="http://schemas.microsoft.com/office/drawing/2014/main" id="{D8B373ED-5883-4CF9-B486-2E1EE157BC20}"/>
            </a:ext>
          </a:extLst>
        </xdr:cNvPr>
        <xdr:cNvSpPr/>
      </xdr:nvSpPr>
      <xdr:spPr>
        <a:xfrm>
          <a:off x="8599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121</xdr:col>
      <xdr:colOff>19050</xdr:colOff>
      <xdr:row>1</xdr:row>
      <xdr:rowOff>12700</xdr:rowOff>
    </xdr:from>
    <xdr:to>
      <xdr:col>121</xdr:col>
      <xdr:colOff>104010</xdr:colOff>
      <xdr:row>1</xdr:row>
      <xdr:rowOff>127000</xdr:rowOff>
    </xdr:to>
    <xdr:sp macro="" textlink="">
      <xdr:nvSpPr>
        <xdr:cNvPr id="136" name="OpenSolver135">
          <a:extLst>
            <a:ext uri="{FF2B5EF4-FFF2-40B4-BE49-F238E27FC236}">
              <a16:creationId xmlns:a16="http://schemas.microsoft.com/office/drawing/2014/main" id="{328A26FF-01DE-CD65-97ED-14D0774D49F8}"/>
            </a:ext>
          </a:extLst>
        </xdr:cNvPr>
        <xdr:cNvSpPr/>
      </xdr:nvSpPr>
      <xdr:spPr>
        <a:xfrm>
          <a:off x="8671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122</xdr:col>
      <xdr:colOff>15875</xdr:colOff>
      <xdr:row>1</xdr:row>
      <xdr:rowOff>12700</xdr:rowOff>
    </xdr:from>
    <xdr:to>
      <xdr:col>122</xdr:col>
      <xdr:colOff>100835</xdr:colOff>
      <xdr:row>1</xdr:row>
      <xdr:rowOff>127000</xdr:rowOff>
    </xdr:to>
    <xdr:sp macro="" textlink="">
      <xdr:nvSpPr>
        <xdr:cNvPr id="137" name="OpenSolver136">
          <a:extLst>
            <a:ext uri="{FF2B5EF4-FFF2-40B4-BE49-F238E27FC236}">
              <a16:creationId xmlns:a16="http://schemas.microsoft.com/office/drawing/2014/main" id="{A4A2C114-55B1-FA57-6E8C-7CDB8B92B114}"/>
            </a:ext>
          </a:extLst>
        </xdr:cNvPr>
        <xdr:cNvSpPr/>
      </xdr:nvSpPr>
      <xdr:spPr>
        <a:xfrm>
          <a:off x="8742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123</xdr:col>
      <xdr:colOff>12700</xdr:colOff>
      <xdr:row>1</xdr:row>
      <xdr:rowOff>12700</xdr:rowOff>
    </xdr:from>
    <xdr:to>
      <xdr:col>123</xdr:col>
      <xdr:colOff>97660</xdr:colOff>
      <xdr:row>1</xdr:row>
      <xdr:rowOff>127000</xdr:rowOff>
    </xdr:to>
    <xdr:sp macro="" textlink="">
      <xdr:nvSpPr>
        <xdr:cNvPr id="138" name="OpenSolver137">
          <a:extLst>
            <a:ext uri="{FF2B5EF4-FFF2-40B4-BE49-F238E27FC236}">
              <a16:creationId xmlns:a16="http://schemas.microsoft.com/office/drawing/2014/main" id="{C4FFCAE8-7431-3CC7-A647-142FB013D4E0}"/>
            </a:ext>
          </a:extLst>
        </xdr:cNvPr>
        <xdr:cNvSpPr/>
      </xdr:nvSpPr>
      <xdr:spPr>
        <a:xfrm>
          <a:off x="8813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124</xdr:col>
      <xdr:colOff>9525</xdr:colOff>
      <xdr:row>1</xdr:row>
      <xdr:rowOff>12700</xdr:rowOff>
    </xdr:from>
    <xdr:to>
      <xdr:col>124</xdr:col>
      <xdr:colOff>94485</xdr:colOff>
      <xdr:row>1</xdr:row>
      <xdr:rowOff>127000</xdr:rowOff>
    </xdr:to>
    <xdr:sp macro="" textlink="">
      <xdr:nvSpPr>
        <xdr:cNvPr id="139" name="OpenSolver138">
          <a:extLst>
            <a:ext uri="{FF2B5EF4-FFF2-40B4-BE49-F238E27FC236}">
              <a16:creationId xmlns:a16="http://schemas.microsoft.com/office/drawing/2014/main" id="{48C3FE5E-74E6-220B-646D-D1BA71269F5C}"/>
            </a:ext>
          </a:extLst>
        </xdr:cNvPr>
        <xdr:cNvSpPr/>
      </xdr:nvSpPr>
      <xdr:spPr>
        <a:xfrm>
          <a:off x="8884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125</xdr:col>
      <xdr:colOff>6350</xdr:colOff>
      <xdr:row>1</xdr:row>
      <xdr:rowOff>12700</xdr:rowOff>
    </xdr:from>
    <xdr:to>
      <xdr:col>125</xdr:col>
      <xdr:colOff>91310</xdr:colOff>
      <xdr:row>1</xdr:row>
      <xdr:rowOff>127000</xdr:rowOff>
    </xdr:to>
    <xdr:sp macro="" textlink="">
      <xdr:nvSpPr>
        <xdr:cNvPr id="140" name="OpenSolver139">
          <a:extLst>
            <a:ext uri="{FF2B5EF4-FFF2-40B4-BE49-F238E27FC236}">
              <a16:creationId xmlns:a16="http://schemas.microsoft.com/office/drawing/2014/main" id="{26A6800D-D23F-D377-1B2D-A94AAC7D05FA}"/>
            </a:ext>
          </a:extLst>
        </xdr:cNvPr>
        <xdr:cNvSpPr/>
      </xdr:nvSpPr>
      <xdr:spPr>
        <a:xfrm>
          <a:off x="8956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126</xdr:col>
      <xdr:colOff>15875</xdr:colOff>
      <xdr:row>1</xdr:row>
      <xdr:rowOff>12700</xdr:rowOff>
    </xdr:from>
    <xdr:to>
      <xdr:col>126</xdr:col>
      <xdr:colOff>100835</xdr:colOff>
      <xdr:row>1</xdr:row>
      <xdr:rowOff>127000</xdr:rowOff>
    </xdr:to>
    <xdr:sp macro="" textlink="">
      <xdr:nvSpPr>
        <xdr:cNvPr id="141" name="OpenSolver140">
          <a:extLst>
            <a:ext uri="{FF2B5EF4-FFF2-40B4-BE49-F238E27FC236}">
              <a16:creationId xmlns:a16="http://schemas.microsoft.com/office/drawing/2014/main" id="{2C22ECE8-C5C4-C03B-20F0-402DD76D167F}"/>
            </a:ext>
          </a:extLst>
        </xdr:cNvPr>
        <xdr:cNvSpPr/>
      </xdr:nvSpPr>
      <xdr:spPr>
        <a:xfrm>
          <a:off x="9028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127</xdr:col>
      <xdr:colOff>12700</xdr:colOff>
      <xdr:row>1</xdr:row>
      <xdr:rowOff>12700</xdr:rowOff>
    </xdr:from>
    <xdr:to>
      <xdr:col>127</xdr:col>
      <xdr:colOff>97660</xdr:colOff>
      <xdr:row>1</xdr:row>
      <xdr:rowOff>127000</xdr:rowOff>
    </xdr:to>
    <xdr:sp macro="" textlink="">
      <xdr:nvSpPr>
        <xdr:cNvPr id="142" name="OpenSolver141">
          <a:extLst>
            <a:ext uri="{FF2B5EF4-FFF2-40B4-BE49-F238E27FC236}">
              <a16:creationId xmlns:a16="http://schemas.microsoft.com/office/drawing/2014/main" id="{33C60C17-68B3-F86F-202D-1AAD6E5793DB}"/>
            </a:ext>
          </a:extLst>
        </xdr:cNvPr>
        <xdr:cNvSpPr/>
      </xdr:nvSpPr>
      <xdr:spPr>
        <a:xfrm>
          <a:off x="9099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128</xdr:col>
      <xdr:colOff>9525</xdr:colOff>
      <xdr:row>1</xdr:row>
      <xdr:rowOff>12700</xdr:rowOff>
    </xdr:from>
    <xdr:to>
      <xdr:col>128</xdr:col>
      <xdr:colOff>94485</xdr:colOff>
      <xdr:row>1</xdr:row>
      <xdr:rowOff>127000</xdr:rowOff>
    </xdr:to>
    <xdr:sp macro="" textlink="">
      <xdr:nvSpPr>
        <xdr:cNvPr id="143" name="OpenSolver142">
          <a:extLst>
            <a:ext uri="{FF2B5EF4-FFF2-40B4-BE49-F238E27FC236}">
              <a16:creationId xmlns:a16="http://schemas.microsoft.com/office/drawing/2014/main" id="{40A9AE76-F86C-75E1-3736-1BBC83E4464D}"/>
            </a:ext>
          </a:extLst>
        </xdr:cNvPr>
        <xdr:cNvSpPr/>
      </xdr:nvSpPr>
      <xdr:spPr>
        <a:xfrm>
          <a:off x="9170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129</xdr:col>
      <xdr:colOff>19050</xdr:colOff>
      <xdr:row>1</xdr:row>
      <xdr:rowOff>12700</xdr:rowOff>
    </xdr:from>
    <xdr:to>
      <xdr:col>129</xdr:col>
      <xdr:colOff>104010</xdr:colOff>
      <xdr:row>1</xdr:row>
      <xdr:rowOff>127000</xdr:rowOff>
    </xdr:to>
    <xdr:sp macro="" textlink="">
      <xdr:nvSpPr>
        <xdr:cNvPr id="144" name="OpenSolver143">
          <a:extLst>
            <a:ext uri="{FF2B5EF4-FFF2-40B4-BE49-F238E27FC236}">
              <a16:creationId xmlns:a16="http://schemas.microsoft.com/office/drawing/2014/main" id="{1578A050-DF15-BB21-D335-96A0BFBCB74D}"/>
            </a:ext>
          </a:extLst>
        </xdr:cNvPr>
        <xdr:cNvSpPr/>
      </xdr:nvSpPr>
      <xdr:spPr>
        <a:xfrm>
          <a:off x="9243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130</xdr:col>
      <xdr:colOff>15875</xdr:colOff>
      <xdr:row>1</xdr:row>
      <xdr:rowOff>12700</xdr:rowOff>
    </xdr:from>
    <xdr:to>
      <xdr:col>130</xdr:col>
      <xdr:colOff>100835</xdr:colOff>
      <xdr:row>1</xdr:row>
      <xdr:rowOff>127000</xdr:rowOff>
    </xdr:to>
    <xdr:sp macro="" textlink="">
      <xdr:nvSpPr>
        <xdr:cNvPr id="145" name="OpenSolver144">
          <a:extLst>
            <a:ext uri="{FF2B5EF4-FFF2-40B4-BE49-F238E27FC236}">
              <a16:creationId xmlns:a16="http://schemas.microsoft.com/office/drawing/2014/main" id="{1764D513-248D-5D2E-403E-9B38F10EA289}"/>
            </a:ext>
          </a:extLst>
        </xdr:cNvPr>
        <xdr:cNvSpPr/>
      </xdr:nvSpPr>
      <xdr:spPr>
        <a:xfrm>
          <a:off x="9314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131</xdr:col>
      <xdr:colOff>12700</xdr:colOff>
      <xdr:row>1</xdr:row>
      <xdr:rowOff>12700</xdr:rowOff>
    </xdr:from>
    <xdr:to>
      <xdr:col>131</xdr:col>
      <xdr:colOff>97660</xdr:colOff>
      <xdr:row>1</xdr:row>
      <xdr:rowOff>127000</xdr:rowOff>
    </xdr:to>
    <xdr:sp macro="" textlink="">
      <xdr:nvSpPr>
        <xdr:cNvPr id="146" name="OpenSolver145">
          <a:extLst>
            <a:ext uri="{FF2B5EF4-FFF2-40B4-BE49-F238E27FC236}">
              <a16:creationId xmlns:a16="http://schemas.microsoft.com/office/drawing/2014/main" id="{CC100AA9-7177-3817-CB1C-8D35122FBD2F}"/>
            </a:ext>
          </a:extLst>
        </xdr:cNvPr>
        <xdr:cNvSpPr/>
      </xdr:nvSpPr>
      <xdr:spPr>
        <a:xfrm>
          <a:off x="9385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132</xdr:col>
      <xdr:colOff>9525</xdr:colOff>
      <xdr:row>1</xdr:row>
      <xdr:rowOff>12700</xdr:rowOff>
    </xdr:from>
    <xdr:to>
      <xdr:col>132</xdr:col>
      <xdr:colOff>94485</xdr:colOff>
      <xdr:row>1</xdr:row>
      <xdr:rowOff>127000</xdr:rowOff>
    </xdr:to>
    <xdr:sp macro="" textlink="">
      <xdr:nvSpPr>
        <xdr:cNvPr id="147" name="OpenSolver146">
          <a:extLst>
            <a:ext uri="{FF2B5EF4-FFF2-40B4-BE49-F238E27FC236}">
              <a16:creationId xmlns:a16="http://schemas.microsoft.com/office/drawing/2014/main" id="{25150015-0DDD-8A6A-7586-9C7E2816E989}"/>
            </a:ext>
          </a:extLst>
        </xdr:cNvPr>
        <xdr:cNvSpPr/>
      </xdr:nvSpPr>
      <xdr:spPr>
        <a:xfrm>
          <a:off x="9456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133</xdr:col>
      <xdr:colOff>6350</xdr:colOff>
      <xdr:row>1</xdr:row>
      <xdr:rowOff>12700</xdr:rowOff>
    </xdr:from>
    <xdr:to>
      <xdr:col>133</xdr:col>
      <xdr:colOff>91310</xdr:colOff>
      <xdr:row>1</xdr:row>
      <xdr:rowOff>127000</xdr:rowOff>
    </xdr:to>
    <xdr:sp macro="" textlink="">
      <xdr:nvSpPr>
        <xdr:cNvPr id="148" name="OpenSolver147">
          <a:extLst>
            <a:ext uri="{FF2B5EF4-FFF2-40B4-BE49-F238E27FC236}">
              <a16:creationId xmlns:a16="http://schemas.microsoft.com/office/drawing/2014/main" id="{821B681C-A2E3-311A-C8C2-61A2EC044776}"/>
            </a:ext>
          </a:extLst>
        </xdr:cNvPr>
        <xdr:cNvSpPr/>
      </xdr:nvSpPr>
      <xdr:spPr>
        <a:xfrm>
          <a:off x="9527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134</xdr:col>
      <xdr:colOff>15875</xdr:colOff>
      <xdr:row>1</xdr:row>
      <xdr:rowOff>12700</xdr:rowOff>
    </xdr:from>
    <xdr:to>
      <xdr:col>134</xdr:col>
      <xdr:colOff>100835</xdr:colOff>
      <xdr:row>1</xdr:row>
      <xdr:rowOff>127000</xdr:rowOff>
    </xdr:to>
    <xdr:sp macro="" textlink="">
      <xdr:nvSpPr>
        <xdr:cNvPr id="149" name="OpenSolver148">
          <a:extLst>
            <a:ext uri="{FF2B5EF4-FFF2-40B4-BE49-F238E27FC236}">
              <a16:creationId xmlns:a16="http://schemas.microsoft.com/office/drawing/2014/main" id="{3168F119-95B9-45F1-0FA6-FAA949BD7C0F}"/>
            </a:ext>
          </a:extLst>
        </xdr:cNvPr>
        <xdr:cNvSpPr/>
      </xdr:nvSpPr>
      <xdr:spPr>
        <a:xfrm>
          <a:off x="9599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135</xdr:col>
      <xdr:colOff>12700</xdr:colOff>
      <xdr:row>1</xdr:row>
      <xdr:rowOff>12700</xdr:rowOff>
    </xdr:from>
    <xdr:to>
      <xdr:col>135</xdr:col>
      <xdr:colOff>97660</xdr:colOff>
      <xdr:row>1</xdr:row>
      <xdr:rowOff>127000</xdr:rowOff>
    </xdr:to>
    <xdr:sp macro="" textlink="">
      <xdr:nvSpPr>
        <xdr:cNvPr id="150" name="OpenSolver149">
          <a:extLst>
            <a:ext uri="{FF2B5EF4-FFF2-40B4-BE49-F238E27FC236}">
              <a16:creationId xmlns:a16="http://schemas.microsoft.com/office/drawing/2014/main" id="{4E0C5039-4EC8-ADA2-5014-7D484B30CA89}"/>
            </a:ext>
          </a:extLst>
        </xdr:cNvPr>
        <xdr:cNvSpPr/>
      </xdr:nvSpPr>
      <xdr:spPr>
        <a:xfrm>
          <a:off x="9671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136</xdr:col>
      <xdr:colOff>9525</xdr:colOff>
      <xdr:row>1</xdr:row>
      <xdr:rowOff>12700</xdr:rowOff>
    </xdr:from>
    <xdr:to>
      <xdr:col>136</xdr:col>
      <xdr:colOff>94485</xdr:colOff>
      <xdr:row>1</xdr:row>
      <xdr:rowOff>127000</xdr:rowOff>
    </xdr:to>
    <xdr:sp macro="" textlink="">
      <xdr:nvSpPr>
        <xdr:cNvPr id="151" name="OpenSolver150">
          <a:extLst>
            <a:ext uri="{FF2B5EF4-FFF2-40B4-BE49-F238E27FC236}">
              <a16:creationId xmlns:a16="http://schemas.microsoft.com/office/drawing/2014/main" id="{E47E60AB-3A21-349A-1FCA-F8A2A65EA7D3}"/>
            </a:ext>
          </a:extLst>
        </xdr:cNvPr>
        <xdr:cNvSpPr/>
      </xdr:nvSpPr>
      <xdr:spPr>
        <a:xfrm>
          <a:off x="9742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137</xdr:col>
      <xdr:colOff>19050</xdr:colOff>
      <xdr:row>1</xdr:row>
      <xdr:rowOff>12700</xdr:rowOff>
    </xdr:from>
    <xdr:to>
      <xdr:col>137</xdr:col>
      <xdr:colOff>104010</xdr:colOff>
      <xdr:row>1</xdr:row>
      <xdr:rowOff>127000</xdr:rowOff>
    </xdr:to>
    <xdr:sp macro="" textlink="">
      <xdr:nvSpPr>
        <xdr:cNvPr id="152" name="OpenSolver151">
          <a:extLst>
            <a:ext uri="{FF2B5EF4-FFF2-40B4-BE49-F238E27FC236}">
              <a16:creationId xmlns:a16="http://schemas.microsoft.com/office/drawing/2014/main" id="{F7F3BA80-B0E2-9DB5-D89A-D96E7B2B4AEE}"/>
            </a:ext>
          </a:extLst>
        </xdr:cNvPr>
        <xdr:cNvSpPr/>
      </xdr:nvSpPr>
      <xdr:spPr>
        <a:xfrm>
          <a:off x="9814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138</xdr:col>
      <xdr:colOff>15875</xdr:colOff>
      <xdr:row>1</xdr:row>
      <xdr:rowOff>12700</xdr:rowOff>
    </xdr:from>
    <xdr:to>
      <xdr:col>138</xdr:col>
      <xdr:colOff>100835</xdr:colOff>
      <xdr:row>1</xdr:row>
      <xdr:rowOff>127000</xdr:rowOff>
    </xdr:to>
    <xdr:sp macro="" textlink="">
      <xdr:nvSpPr>
        <xdr:cNvPr id="153" name="OpenSolver152">
          <a:extLst>
            <a:ext uri="{FF2B5EF4-FFF2-40B4-BE49-F238E27FC236}">
              <a16:creationId xmlns:a16="http://schemas.microsoft.com/office/drawing/2014/main" id="{42B229F3-E1DD-E194-37C7-FA4FFC41ABE1}"/>
            </a:ext>
          </a:extLst>
        </xdr:cNvPr>
        <xdr:cNvSpPr/>
      </xdr:nvSpPr>
      <xdr:spPr>
        <a:xfrm>
          <a:off x="9885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139</xdr:col>
      <xdr:colOff>12700</xdr:colOff>
      <xdr:row>1</xdr:row>
      <xdr:rowOff>12700</xdr:rowOff>
    </xdr:from>
    <xdr:to>
      <xdr:col>139</xdr:col>
      <xdr:colOff>97660</xdr:colOff>
      <xdr:row>1</xdr:row>
      <xdr:rowOff>127000</xdr:rowOff>
    </xdr:to>
    <xdr:sp macro="" textlink="">
      <xdr:nvSpPr>
        <xdr:cNvPr id="154" name="OpenSolver153">
          <a:extLst>
            <a:ext uri="{FF2B5EF4-FFF2-40B4-BE49-F238E27FC236}">
              <a16:creationId xmlns:a16="http://schemas.microsoft.com/office/drawing/2014/main" id="{D7F51F00-F006-418B-56E8-F23AB6FC835D}"/>
            </a:ext>
          </a:extLst>
        </xdr:cNvPr>
        <xdr:cNvSpPr/>
      </xdr:nvSpPr>
      <xdr:spPr>
        <a:xfrm>
          <a:off x="9956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140</xdr:col>
      <xdr:colOff>9525</xdr:colOff>
      <xdr:row>1</xdr:row>
      <xdr:rowOff>12700</xdr:rowOff>
    </xdr:from>
    <xdr:to>
      <xdr:col>140</xdr:col>
      <xdr:colOff>94485</xdr:colOff>
      <xdr:row>1</xdr:row>
      <xdr:rowOff>127000</xdr:rowOff>
    </xdr:to>
    <xdr:sp macro="" textlink="">
      <xdr:nvSpPr>
        <xdr:cNvPr id="155" name="OpenSolver154">
          <a:extLst>
            <a:ext uri="{FF2B5EF4-FFF2-40B4-BE49-F238E27FC236}">
              <a16:creationId xmlns:a16="http://schemas.microsoft.com/office/drawing/2014/main" id="{A049F0F5-9697-48C7-82BD-FA5742E8F943}"/>
            </a:ext>
          </a:extLst>
        </xdr:cNvPr>
        <xdr:cNvSpPr/>
      </xdr:nvSpPr>
      <xdr:spPr>
        <a:xfrm>
          <a:off x="10027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141</xdr:col>
      <xdr:colOff>6350</xdr:colOff>
      <xdr:row>1</xdr:row>
      <xdr:rowOff>12700</xdr:rowOff>
    </xdr:from>
    <xdr:to>
      <xdr:col>141</xdr:col>
      <xdr:colOff>91310</xdr:colOff>
      <xdr:row>1</xdr:row>
      <xdr:rowOff>127000</xdr:rowOff>
    </xdr:to>
    <xdr:sp macro="" textlink="">
      <xdr:nvSpPr>
        <xdr:cNvPr id="156" name="OpenSolver155">
          <a:extLst>
            <a:ext uri="{FF2B5EF4-FFF2-40B4-BE49-F238E27FC236}">
              <a16:creationId xmlns:a16="http://schemas.microsoft.com/office/drawing/2014/main" id="{B2A3D5E3-8956-BB3C-B016-4FE67A573B5E}"/>
            </a:ext>
          </a:extLst>
        </xdr:cNvPr>
        <xdr:cNvSpPr/>
      </xdr:nvSpPr>
      <xdr:spPr>
        <a:xfrm>
          <a:off x="10099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142</xdr:col>
      <xdr:colOff>15875</xdr:colOff>
      <xdr:row>1</xdr:row>
      <xdr:rowOff>12700</xdr:rowOff>
    </xdr:from>
    <xdr:to>
      <xdr:col>142</xdr:col>
      <xdr:colOff>100835</xdr:colOff>
      <xdr:row>1</xdr:row>
      <xdr:rowOff>127000</xdr:rowOff>
    </xdr:to>
    <xdr:sp macro="" textlink="">
      <xdr:nvSpPr>
        <xdr:cNvPr id="157" name="OpenSolver156">
          <a:extLst>
            <a:ext uri="{FF2B5EF4-FFF2-40B4-BE49-F238E27FC236}">
              <a16:creationId xmlns:a16="http://schemas.microsoft.com/office/drawing/2014/main" id="{FF2A37F3-A301-4AE6-9338-B4D017557ACC}"/>
            </a:ext>
          </a:extLst>
        </xdr:cNvPr>
        <xdr:cNvSpPr/>
      </xdr:nvSpPr>
      <xdr:spPr>
        <a:xfrm>
          <a:off x="10171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143</xdr:col>
      <xdr:colOff>12700</xdr:colOff>
      <xdr:row>1</xdr:row>
      <xdr:rowOff>12700</xdr:rowOff>
    </xdr:from>
    <xdr:to>
      <xdr:col>143</xdr:col>
      <xdr:colOff>97660</xdr:colOff>
      <xdr:row>1</xdr:row>
      <xdr:rowOff>127000</xdr:rowOff>
    </xdr:to>
    <xdr:sp macro="" textlink="">
      <xdr:nvSpPr>
        <xdr:cNvPr id="158" name="OpenSolver157">
          <a:extLst>
            <a:ext uri="{FF2B5EF4-FFF2-40B4-BE49-F238E27FC236}">
              <a16:creationId xmlns:a16="http://schemas.microsoft.com/office/drawing/2014/main" id="{1B4A3934-72FE-A522-F050-EF5C3903B250}"/>
            </a:ext>
          </a:extLst>
        </xdr:cNvPr>
        <xdr:cNvSpPr/>
      </xdr:nvSpPr>
      <xdr:spPr>
        <a:xfrm>
          <a:off x="10242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144</xdr:col>
      <xdr:colOff>9525</xdr:colOff>
      <xdr:row>1</xdr:row>
      <xdr:rowOff>12700</xdr:rowOff>
    </xdr:from>
    <xdr:to>
      <xdr:col>144</xdr:col>
      <xdr:colOff>94485</xdr:colOff>
      <xdr:row>1</xdr:row>
      <xdr:rowOff>127000</xdr:rowOff>
    </xdr:to>
    <xdr:sp macro="" textlink="">
      <xdr:nvSpPr>
        <xdr:cNvPr id="159" name="OpenSolver158">
          <a:extLst>
            <a:ext uri="{FF2B5EF4-FFF2-40B4-BE49-F238E27FC236}">
              <a16:creationId xmlns:a16="http://schemas.microsoft.com/office/drawing/2014/main" id="{CB8D1C7E-071A-9C27-C749-8BB75858DFD4}"/>
            </a:ext>
          </a:extLst>
        </xdr:cNvPr>
        <xdr:cNvSpPr/>
      </xdr:nvSpPr>
      <xdr:spPr>
        <a:xfrm>
          <a:off x="10313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145</xdr:col>
      <xdr:colOff>19050</xdr:colOff>
      <xdr:row>1</xdr:row>
      <xdr:rowOff>12700</xdr:rowOff>
    </xdr:from>
    <xdr:to>
      <xdr:col>145</xdr:col>
      <xdr:colOff>104010</xdr:colOff>
      <xdr:row>1</xdr:row>
      <xdr:rowOff>127000</xdr:rowOff>
    </xdr:to>
    <xdr:sp macro="" textlink="">
      <xdr:nvSpPr>
        <xdr:cNvPr id="160" name="OpenSolver159">
          <a:extLst>
            <a:ext uri="{FF2B5EF4-FFF2-40B4-BE49-F238E27FC236}">
              <a16:creationId xmlns:a16="http://schemas.microsoft.com/office/drawing/2014/main" id="{7761EC14-C6F5-0D00-1565-AE495332AA63}"/>
            </a:ext>
          </a:extLst>
        </xdr:cNvPr>
        <xdr:cNvSpPr/>
      </xdr:nvSpPr>
      <xdr:spPr>
        <a:xfrm>
          <a:off x="10386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146</xdr:col>
      <xdr:colOff>15875</xdr:colOff>
      <xdr:row>1</xdr:row>
      <xdr:rowOff>12700</xdr:rowOff>
    </xdr:from>
    <xdr:to>
      <xdr:col>146</xdr:col>
      <xdr:colOff>100835</xdr:colOff>
      <xdr:row>1</xdr:row>
      <xdr:rowOff>127000</xdr:rowOff>
    </xdr:to>
    <xdr:sp macro="" textlink="">
      <xdr:nvSpPr>
        <xdr:cNvPr id="161" name="OpenSolver160">
          <a:extLst>
            <a:ext uri="{FF2B5EF4-FFF2-40B4-BE49-F238E27FC236}">
              <a16:creationId xmlns:a16="http://schemas.microsoft.com/office/drawing/2014/main" id="{3DB25D09-A5A5-05FA-D5AD-11ECBA989C4B}"/>
            </a:ext>
          </a:extLst>
        </xdr:cNvPr>
        <xdr:cNvSpPr/>
      </xdr:nvSpPr>
      <xdr:spPr>
        <a:xfrm>
          <a:off x="10457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147</xdr:col>
      <xdr:colOff>12700</xdr:colOff>
      <xdr:row>1</xdr:row>
      <xdr:rowOff>12700</xdr:rowOff>
    </xdr:from>
    <xdr:to>
      <xdr:col>147</xdr:col>
      <xdr:colOff>97660</xdr:colOff>
      <xdr:row>1</xdr:row>
      <xdr:rowOff>127000</xdr:rowOff>
    </xdr:to>
    <xdr:sp macro="" textlink="">
      <xdr:nvSpPr>
        <xdr:cNvPr id="162" name="OpenSolver161">
          <a:extLst>
            <a:ext uri="{FF2B5EF4-FFF2-40B4-BE49-F238E27FC236}">
              <a16:creationId xmlns:a16="http://schemas.microsoft.com/office/drawing/2014/main" id="{36588307-03F2-8868-F4FA-11481A19D6EE}"/>
            </a:ext>
          </a:extLst>
        </xdr:cNvPr>
        <xdr:cNvSpPr/>
      </xdr:nvSpPr>
      <xdr:spPr>
        <a:xfrm>
          <a:off x="10528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148</xdr:col>
      <xdr:colOff>9525</xdr:colOff>
      <xdr:row>1</xdr:row>
      <xdr:rowOff>12700</xdr:rowOff>
    </xdr:from>
    <xdr:to>
      <xdr:col>148</xdr:col>
      <xdr:colOff>94485</xdr:colOff>
      <xdr:row>1</xdr:row>
      <xdr:rowOff>127000</xdr:rowOff>
    </xdr:to>
    <xdr:sp macro="" textlink="">
      <xdr:nvSpPr>
        <xdr:cNvPr id="163" name="OpenSolver162">
          <a:extLst>
            <a:ext uri="{FF2B5EF4-FFF2-40B4-BE49-F238E27FC236}">
              <a16:creationId xmlns:a16="http://schemas.microsoft.com/office/drawing/2014/main" id="{4FAB5A99-2DB8-2CF4-1BEC-8490F38A9DD6}"/>
            </a:ext>
          </a:extLst>
        </xdr:cNvPr>
        <xdr:cNvSpPr/>
      </xdr:nvSpPr>
      <xdr:spPr>
        <a:xfrm>
          <a:off x="10599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149</xdr:col>
      <xdr:colOff>6350</xdr:colOff>
      <xdr:row>1</xdr:row>
      <xdr:rowOff>12700</xdr:rowOff>
    </xdr:from>
    <xdr:to>
      <xdr:col>149</xdr:col>
      <xdr:colOff>91310</xdr:colOff>
      <xdr:row>1</xdr:row>
      <xdr:rowOff>127000</xdr:rowOff>
    </xdr:to>
    <xdr:sp macro="" textlink="">
      <xdr:nvSpPr>
        <xdr:cNvPr id="164" name="OpenSolver163">
          <a:extLst>
            <a:ext uri="{FF2B5EF4-FFF2-40B4-BE49-F238E27FC236}">
              <a16:creationId xmlns:a16="http://schemas.microsoft.com/office/drawing/2014/main" id="{26297C80-FEA8-A295-34C1-0BBD9CBED050}"/>
            </a:ext>
          </a:extLst>
        </xdr:cNvPr>
        <xdr:cNvSpPr/>
      </xdr:nvSpPr>
      <xdr:spPr>
        <a:xfrm>
          <a:off x="10670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150</xdr:col>
      <xdr:colOff>15875</xdr:colOff>
      <xdr:row>1</xdr:row>
      <xdr:rowOff>12700</xdr:rowOff>
    </xdr:from>
    <xdr:to>
      <xdr:col>150</xdr:col>
      <xdr:colOff>100835</xdr:colOff>
      <xdr:row>1</xdr:row>
      <xdr:rowOff>127000</xdr:rowOff>
    </xdr:to>
    <xdr:sp macro="" textlink="">
      <xdr:nvSpPr>
        <xdr:cNvPr id="165" name="OpenSolver164">
          <a:extLst>
            <a:ext uri="{FF2B5EF4-FFF2-40B4-BE49-F238E27FC236}">
              <a16:creationId xmlns:a16="http://schemas.microsoft.com/office/drawing/2014/main" id="{D5BDAA09-1524-E6C8-1AA7-63690454E97B}"/>
            </a:ext>
          </a:extLst>
        </xdr:cNvPr>
        <xdr:cNvSpPr/>
      </xdr:nvSpPr>
      <xdr:spPr>
        <a:xfrm>
          <a:off x="10742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151</xdr:col>
      <xdr:colOff>12700</xdr:colOff>
      <xdr:row>1</xdr:row>
      <xdr:rowOff>12700</xdr:rowOff>
    </xdr:from>
    <xdr:to>
      <xdr:col>151</xdr:col>
      <xdr:colOff>97660</xdr:colOff>
      <xdr:row>1</xdr:row>
      <xdr:rowOff>127000</xdr:rowOff>
    </xdr:to>
    <xdr:sp macro="" textlink="">
      <xdr:nvSpPr>
        <xdr:cNvPr id="166" name="OpenSolver165">
          <a:extLst>
            <a:ext uri="{FF2B5EF4-FFF2-40B4-BE49-F238E27FC236}">
              <a16:creationId xmlns:a16="http://schemas.microsoft.com/office/drawing/2014/main" id="{4E34E8FF-F987-0374-D42E-B2C49EA3A523}"/>
            </a:ext>
          </a:extLst>
        </xdr:cNvPr>
        <xdr:cNvSpPr/>
      </xdr:nvSpPr>
      <xdr:spPr>
        <a:xfrm>
          <a:off x="10814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152</xdr:col>
      <xdr:colOff>9525</xdr:colOff>
      <xdr:row>1</xdr:row>
      <xdr:rowOff>12700</xdr:rowOff>
    </xdr:from>
    <xdr:to>
      <xdr:col>152</xdr:col>
      <xdr:colOff>94485</xdr:colOff>
      <xdr:row>1</xdr:row>
      <xdr:rowOff>127000</xdr:rowOff>
    </xdr:to>
    <xdr:sp macro="" textlink="">
      <xdr:nvSpPr>
        <xdr:cNvPr id="167" name="OpenSolver166">
          <a:extLst>
            <a:ext uri="{FF2B5EF4-FFF2-40B4-BE49-F238E27FC236}">
              <a16:creationId xmlns:a16="http://schemas.microsoft.com/office/drawing/2014/main" id="{DC25B812-EE63-11DD-54EF-DAAD2E133E71}"/>
            </a:ext>
          </a:extLst>
        </xdr:cNvPr>
        <xdr:cNvSpPr/>
      </xdr:nvSpPr>
      <xdr:spPr>
        <a:xfrm>
          <a:off x="10885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153</xdr:col>
      <xdr:colOff>19050</xdr:colOff>
      <xdr:row>1</xdr:row>
      <xdr:rowOff>12700</xdr:rowOff>
    </xdr:from>
    <xdr:to>
      <xdr:col>153</xdr:col>
      <xdr:colOff>104010</xdr:colOff>
      <xdr:row>1</xdr:row>
      <xdr:rowOff>127000</xdr:rowOff>
    </xdr:to>
    <xdr:sp macro="" textlink="">
      <xdr:nvSpPr>
        <xdr:cNvPr id="168" name="OpenSolver167">
          <a:extLst>
            <a:ext uri="{FF2B5EF4-FFF2-40B4-BE49-F238E27FC236}">
              <a16:creationId xmlns:a16="http://schemas.microsoft.com/office/drawing/2014/main" id="{3F5FCD3C-3990-9511-C8BF-264C925AD7A1}"/>
            </a:ext>
          </a:extLst>
        </xdr:cNvPr>
        <xdr:cNvSpPr/>
      </xdr:nvSpPr>
      <xdr:spPr>
        <a:xfrm>
          <a:off x="10957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154</xdr:col>
      <xdr:colOff>15875</xdr:colOff>
      <xdr:row>1</xdr:row>
      <xdr:rowOff>12700</xdr:rowOff>
    </xdr:from>
    <xdr:to>
      <xdr:col>154</xdr:col>
      <xdr:colOff>100835</xdr:colOff>
      <xdr:row>1</xdr:row>
      <xdr:rowOff>127000</xdr:rowOff>
    </xdr:to>
    <xdr:sp macro="" textlink="">
      <xdr:nvSpPr>
        <xdr:cNvPr id="169" name="OpenSolver168">
          <a:extLst>
            <a:ext uri="{FF2B5EF4-FFF2-40B4-BE49-F238E27FC236}">
              <a16:creationId xmlns:a16="http://schemas.microsoft.com/office/drawing/2014/main" id="{031DE4EF-EE66-04A5-4F18-362D762C3C0F}"/>
            </a:ext>
          </a:extLst>
        </xdr:cNvPr>
        <xdr:cNvSpPr/>
      </xdr:nvSpPr>
      <xdr:spPr>
        <a:xfrm>
          <a:off x="11028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155</xdr:col>
      <xdr:colOff>12700</xdr:colOff>
      <xdr:row>1</xdr:row>
      <xdr:rowOff>12700</xdr:rowOff>
    </xdr:from>
    <xdr:to>
      <xdr:col>155</xdr:col>
      <xdr:colOff>97660</xdr:colOff>
      <xdr:row>1</xdr:row>
      <xdr:rowOff>127000</xdr:rowOff>
    </xdr:to>
    <xdr:sp macro="" textlink="">
      <xdr:nvSpPr>
        <xdr:cNvPr id="170" name="OpenSolver169">
          <a:extLst>
            <a:ext uri="{FF2B5EF4-FFF2-40B4-BE49-F238E27FC236}">
              <a16:creationId xmlns:a16="http://schemas.microsoft.com/office/drawing/2014/main" id="{EC25F87E-0A05-B555-095F-71267B17B1C8}"/>
            </a:ext>
          </a:extLst>
        </xdr:cNvPr>
        <xdr:cNvSpPr/>
      </xdr:nvSpPr>
      <xdr:spPr>
        <a:xfrm>
          <a:off x="11099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156</xdr:col>
      <xdr:colOff>9525</xdr:colOff>
      <xdr:row>1</xdr:row>
      <xdr:rowOff>12700</xdr:rowOff>
    </xdr:from>
    <xdr:to>
      <xdr:col>156</xdr:col>
      <xdr:colOff>94485</xdr:colOff>
      <xdr:row>1</xdr:row>
      <xdr:rowOff>127000</xdr:rowOff>
    </xdr:to>
    <xdr:sp macro="" textlink="">
      <xdr:nvSpPr>
        <xdr:cNvPr id="171" name="OpenSolver170">
          <a:extLst>
            <a:ext uri="{FF2B5EF4-FFF2-40B4-BE49-F238E27FC236}">
              <a16:creationId xmlns:a16="http://schemas.microsoft.com/office/drawing/2014/main" id="{3A431266-5536-3D18-BA7E-12E6523DF23B}"/>
            </a:ext>
          </a:extLst>
        </xdr:cNvPr>
        <xdr:cNvSpPr/>
      </xdr:nvSpPr>
      <xdr:spPr>
        <a:xfrm>
          <a:off x="11170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157</xdr:col>
      <xdr:colOff>6350</xdr:colOff>
      <xdr:row>1</xdr:row>
      <xdr:rowOff>12700</xdr:rowOff>
    </xdr:from>
    <xdr:to>
      <xdr:col>157</xdr:col>
      <xdr:colOff>91310</xdr:colOff>
      <xdr:row>1</xdr:row>
      <xdr:rowOff>127000</xdr:rowOff>
    </xdr:to>
    <xdr:sp macro="" textlink="">
      <xdr:nvSpPr>
        <xdr:cNvPr id="172" name="OpenSolver171">
          <a:extLst>
            <a:ext uri="{FF2B5EF4-FFF2-40B4-BE49-F238E27FC236}">
              <a16:creationId xmlns:a16="http://schemas.microsoft.com/office/drawing/2014/main" id="{1375892B-B6E4-9A4A-713D-28258F5C494E}"/>
            </a:ext>
          </a:extLst>
        </xdr:cNvPr>
        <xdr:cNvSpPr/>
      </xdr:nvSpPr>
      <xdr:spPr>
        <a:xfrm>
          <a:off x="11242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158</xdr:col>
      <xdr:colOff>15875</xdr:colOff>
      <xdr:row>1</xdr:row>
      <xdr:rowOff>12700</xdr:rowOff>
    </xdr:from>
    <xdr:to>
      <xdr:col>158</xdr:col>
      <xdr:colOff>100835</xdr:colOff>
      <xdr:row>1</xdr:row>
      <xdr:rowOff>127000</xdr:rowOff>
    </xdr:to>
    <xdr:sp macro="" textlink="">
      <xdr:nvSpPr>
        <xdr:cNvPr id="173" name="OpenSolver172">
          <a:extLst>
            <a:ext uri="{FF2B5EF4-FFF2-40B4-BE49-F238E27FC236}">
              <a16:creationId xmlns:a16="http://schemas.microsoft.com/office/drawing/2014/main" id="{AA3C037A-2452-BEA4-F327-1694D7EB7834}"/>
            </a:ext>
          </a:extLst>
        </xdr:cNvPr>
        <xdr:cNvSpPr/>
      </xdr:nvSpPr>
      <xdr:spPr>
        <a:xfrm>
          <a:off x="11314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159</xdr:col>
      <xdr:colOff>12700</xdr:colOff>
      <xdr:row>1</xdr:row>
      <xdr:rowOff>12700</xdr:rowOff>
    </xdr:from>
    <xdr:to>
      <xdr:col>159</xdr:col>
      <xdr:colOff>97660</xdr:colOff>
      <xdr:row>1</xdr:row>
      <xdr:rowOff>127000</xdr:rowOff>
    </xdr:to>
    <xdr:sp macro="" textlink="">
      <xdr:nvSpPr>
        <xdr:cNvPr id="174" name="OpenSolver173">
          <a:extLst>
            <a:ext uri="{FF2B5EF4-FFF2-40B4-BE49-F238E27FC236}">
              <a16:creationId xmlns:a16="http://schemas.microsoft.com/office/drawing/2014/main" id="{95494487-EA7A-29FB-EAD7-3BE31AE33C43}"/>
            </a:ext>
          </a:extLst>
        </xdr:cNvPr>
        <xdr:cNvSpPr/>
      </xdr:nvSpPr>
      <xdr:spPr>
        <a:xfrm>
          <a:off x="11385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160</xdr:col>
      <xdr:colOff>9525</xdr:colOff>
      <xdr:row>1</xdr:row>
      <xdr:rowOff>12700</xdr:rowOff>
    </xdr:from>
    <xdr:to>
      <xdr:col>160</xdr:col>
      <xdr:colOff>94485</xdr:colOff>
      <xdr:row>1</xdr:row>
      <xdr:rowOff>127000</xdr:rowOff>
    </xdr:to>
    <xdr:sp macro="" textlink="">
      <xdr:nvSpPr>
        <xdr:cNvPr id="175" name="OpenSolver174">
          <a:extLst>
            <a:ext uri="{FF2B5EF4-FFF2-40B4-BE49-F238E27FC236}">
              <a16:creationId xmlns:a16="http://schemas.microsoft.com/office/drawing/2014/main" id="{3B6EDA31-9068-3981-C222-EDB4BA5F538B}"/>
            </a:ext>
          </a:extLst>
        </xdr:cNvPr>
        <xdr:cNvSpPr/>
      </xdr:nvSpPr>
      <xdr:spPr>
        <a:xfrm>
          <a:off x="11456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161</xdr:col>
      <xdr:colOff>19050</xdr:colOff>
      <xdr:row>1</xdr:row>
      <xdr:rowOff>12700</xdr:rowOff>
    </xdr:from>
    <xdr:to>
      <xdr:col>161</xdr:col>
      <xdr:colOff>104010</xdr:colOff>
      <xdr:row>1</xdr:row>
      <xdr:rowOff>127000</xdr:rowOff>
    </xdr:to>
    <xdr:sp macro="" textlink="">
      <xdr:nvSpPr>
        <xdr:cNvPr id="176" name="OpenSolver175">
          <a:extLst>
            <a:ext uri="{FF2B5EF4-FFF2-40B4-BE49-F238E27FC236}">
              <a16:creationId xmlns:a16="http://schemas.microsoft.com/office/drawing/2014/main" id="{383EAC59-6F59-6AEA-E80F-F2B3AB0000A1}"/>
            </a:ext>
          </a:extLst>
        </xdr:cNvPr>
        <xdr:cNvSpPr/>
      </xdr:nvSpPr>
      <xdr:spPr>
        <a:xfrm>
          <a:off x="11529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162</xdr:col>
      <xdr:colOff>15875</xdr:colOff>
      <xdr:row>1</xdr:row>
      <xdr:rowOff>12700</xdr:rowOff>
    </xdr:from>
    <xdr:to>
      <xdr:col>162</xdr:col>
      <xdr:colOff>100835</xdr:colOff>
      <xdr:row>1</xdr:row>
      <xdr:rowOff>127000</xdr:rowOff>
    </xdr:to>
    <xdr:sp macro="" textlink="">
      <xdr:nvSpPr>
        <xdr:cNvPr id="177" name="OpenSolver176">
          <a:extLst>
            <a:ext uri="{FF2B5EF4-FFF2-40B4-BE49-F238E27FC236}">
              <a16:creationId xmlns:a16="http://schemas.microsoft.com/office/drawing/2014/main" id="{402E2232-1A02-6FF5-6FC6-A8AAE9C4B59A}"/>
            </a:ext>
          </a:extLst>
        </xdr:cNvPr>
        <xdr:cNvSpPr/>
      </xdr:nvSpPr>
      <xdr:spPr>
        <a:xfrm>
          <a:off x="11600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163</xdr:col>
      <xdr:colOff>12700</xdr:colOff>
      <xdr:row>1</xdr:row>
      <xdr:rowOff>12700</xdr:rowOff>
    </xdr:from>
    <xdr:to>
      <xdr:col>163</xdr:col>
      <xdr:colOff>97660</xdr:colOff>
      <xdr:row>1</xdr:row>
      <xdr:rowOff>127000</xdr:rowOff>
    </xdr:to>
    <xdr:sp macro="" textlink="">
      <xdr:nvSpPr>
        <xdr:cNvPr id="178" name="OpenSolver177">
          <a:extLst>
            <a:ext uri="{FF2B5EF4-FFF2-40B4-BE49-F238E27FC236}">
              <a16:creationId xmlns:a16="http://schemas.microsoft.com/office/drawing/2014/main" id="{0577D005-9E24-56C1-88C6-B6FE1F19E317}"/>
            </a:ext>
          </a:extLst>
        </xdr:cNvPr>
        <xdr:cNvSpPr/>
      </xdr:nvSpPr>
      <xdr:spPr>
        <a:xfrm>
          <a:off x="11671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164</xdr:col>
      <xdr:colOff>9525</xdr:colOff>
      <xdr:row>1</xdr:row>
      <xdr:rowOff>12700</xdr:rowOff>
    </xdr:from>
    <xdr:to>
      <xdr:col>164</xdr:col>
      <xdr:colOff>94485</xdr:colOff>
      <xdr:row>1</xdr:row>
      <xdr:rowOff>127000</xdr:rowOff>
    </xdr:to>
    <xdr:sp macro="" textlink="">
      <xdr:nvSpPr>
        <xdr:cNvPr id="179" name="OpenSolver178">
          <a:extLst>
            <a:ext uri="{FF2B5EF4-FFF2-40B4-BE49-F238E27FC236}">
              <a16:creationId xmlns:a16="http://schemas.microsoft.com/office/drawing/2014/main" id="{8D59DEB3-1862-AFA5-4DB8-3111F098D0CB}"/>
            </a:ext>
          </a:extLst>
        </xdr:cNvPr>
        <xdr:cNvSpPr/>
      </xdr:nvSpPr>
      <xdr:spPr>
        <a:xfrm>
          <a:off x="11742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165</xdr:col>
      <xdr:colOff>6350</xdr:colOff>
      <xdr:row>1</xdr:row>
      <xdr:rowOff>12700</xdr:rowOff>
    </xdr:from>
    <xdr:to>
      <xdr:col>165</xdr:col>
      <xdr:colOff>91310</xdr:colOff>
      <xdr:row>1</xdr:row>
      <xdr:rowOff>127000</xdr:rowOff>
    </xdr:to>
    <xdr:sp macro="" textlink="">
      <xdr:nvSpPr>
        <xdr:cNvPr id="180" name="OpenSolver179">
          <a:extLst>
            <a:ext uri="{FF2B5EF4-FFF2-40B4-BE49-F238E27FC236}">
              <a16:creationId xmlns:a16="http://schemas.microsoft.com/office/drawing/2014/main" id="{5E1804AD-2EE1-41BA-78A6-7A47FA4E6D0A}"/>
            </a:ext>
          </a:extLst>
        </xdr:cNvPr>
        <xdr:cNvSpPr/>
      </xdr:nvSpPr>
      <xdr:spPr>
        <a:xfrm>
          <a:off x="11813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166</xdr:col>
      <xdr:colOff>15875</xdr:colOff>
      <xdr:row>1</xdr:row>
      <xdr:rowOff>12700</xdr:rowOff>
    </xdr:from>
    <xdr:to>
      <xdr:col>166</xdr:col>
      <xdr:colOff>100835</xdr:colOff>
      <xdr:row>1</xdr:row>
      <xdr:rowOff>127000</xdr:rowOff>
    </xdr:to>
    <xdr:sp macro="" textlink="">
      <xdr:nvSpPr>
        <xdr:cNvPr id="181" name="OpenSolver180">
          <a:extLst>
            <a:ext uri="{FF2B5EF4-FFF2-40B4-BE49-F238E27FC236}">
              <a16:creationId xmlns:a16="http://schemas.microsoft.com/office/drawing/2014/main" id="{3EF30743-0D6C-0620-D20B-B212AB889D7F}"/>
            </a:ext>
          </a:extLst>
        </xdr:cNvPr>
        <xdr:cNvSpPr/>
      </xdr:nvSpPr>
      <xdr:spPr>
        <a:xfrm>
          <a:off x="11885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167</xdr:col>
      <xdr:colOff>12700</xdr:colOff>
      <xdr:row>1</xdr:row>
      <xdr:rowOff>12700</xdr:rowOff>
    </xdr:from>
    <xdr:to>
      <xdr:col>167</xdr:col>
      <xdr:colOff>97660</xdr:colOff>
      <xdr:row>1</xdr:row>
      <xdr:rowOff>127000</xdr:rowOff>
    </xdr:to>
    <xdr:sp macro="" textlink="">
      <xdr:nvSpPr>
        <xdr:cNvPr id="182" name="OpenSolver181">
          <a:extLst>
            <a:ext uri="{FF2B5EF4-FFF2-40B4-BE49-F238E27FC236}">
              <a16:creationId xmlns:a16="http://schemas.microsoft.com/office/drawing/2014/main" id="{1675B8DB-BA8F-9DCA-C861-B227850EB1AD}"/>
            </a:ext>
          </a:extLst>
        </xdr:cNvPr>
        <xdr:cNvSpPr/>
      </xdr:nvSpPr>
      <xdr:spPr>
        <a:xfrm>
          <a:off x="11957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168</xdr:col>
      <xdr:colOff>9525</xdr:colOff>
      <xdr:row>1</xdr:row>
      <xdr:rowOff>12700</xdr:rowOff>
    </xdr:from>
    <xdr:to>
      <xdr:col>168</xdr:col>
      <xdr:colOff>94485</xdr:colOff>
      <xdr:row>1</xdr:row>
      <xdr:rowOff>127000</xdr:rowOff>
    </xdr:to>
    <xdr:sp macro="" textlink="">
      <xdr:nvSpPr>
        <xdr:cNvPr id="183" name="OpenSolver182">
          <a:extLst>
            <a:ext uri="{FF2B5EF4-FFF2-40B4-BE49-F238E27FC236}">
              <a16:creationId xmlns:a16="http://schemas.microsoft.com/office/drawing/2014/main" id="{4A05DE95-C620-F1A9-76CD-C318341BF4E2}"/>
            </a:ext>
          </a:extLst>
        </xdr:cNvPr>
        <xdr:cNvSpPr/>
      </xdr:nvSpPr>
      <xdr:spPr>
        <a:xfrm>
          <a:off x="12028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169</xdr:col>
      <xdr:colOff>19050</xdr:colOff>
      <xdr:row>1</xdr:row>
      <xdr:rowOff>12700</xdr:rowOff>
    </xdr:from>
    <xdr:to>
      <xdr:col>169</xdr:col>
      <xdr:colOff>104010</xdr:colOff>
      <xdr:row>1</xdr:row>
      <xdr:rowOff>127000</xdr:rowOff>
    </xdr:to>
    <xdr:sp macro="" textlink="">
      <xdr:nvSpPr>
        <xdr:cNvPr id="184" name="OpenSolver183">
          <a:extLst>
            <a:ext uri="{FF2B5EF4-FFF2-40B4-BE49-F238E27FC236}">
              <a16:creationId xmlns:a16="http://schemas.microsoft.com/office/drawing/2014/main" id="{11F15707-8B96-6ABF-EF9B-29C841FA188E}"/>
            </a:ext>
          </a:extLst>
        </xdr:cNvPr>
        <xdr:cNvSpPr/>
      </xdr:nvSpPr>
      <xdr:spPr>
        <a:xfrm>
          <a:off x="12100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170</xdr:col>
      <xdr:colOff>15875</xdr:colOff>
      <xdr:row>1</xdr:row>
      <xdr:rowOff>12700</xdr:rowOff>
    </xdr:from>
    <xdr:to>
      <xdr:col>170</xdr:col>
      <xdr:colOff>100835</xdr:colOff>
      <xdr:row>1</xdr:row>
      <xdr:rowOff>127000</xdr:rowOff>
    </xdr:to>
    <xdr:sp macro="" textlink="">
      <xdr:nvSpPr>
        <xdr:cNvPr id="185" name="OpenSolver184">
          <a:extLst>
            <a:ext uri="{FF2B5EF4-FFF2-40B4-BE49-F238E27FC236}">
              <a16:creationId xmlns:a16="http://schemas.microsoft.com/office/drawing/2014/main" id="{2E649F42-15AC-BFB5-F1E1-BBB468672022}"/>
            </a:ext>
          </a:extLst>
        </xdr:cNvPr>
        <xdr:cNvSpPr/>
      </xdr:nvSpPr>
      <xdr:spPr>
        <a:xfrm>
          <a:off x="12171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171</xdr:col>
      <xdr:colOff>12700</xdr:colOff>
      <xdr:row>1</xdr:row>
      <xdr:rowOff>12700</xdr:rowOff>
    </xdr:from>
    <xdr:to>
      <xdr:col>171</xdr:col>
      <xdr:colOff>97660</xdr:colOff>
      <xdr:row>1</xdr:row>
      <xdr:rowOff>127000</xdr:rowOff>
    </xdr:to>
    <xdr:sp macro="" textlink="">
      <xdr:nvSpPr>
        <xdr:cNvPr id="186" name="OpenSolver185">
          <a:extLst>
            <a:ext uri="{FF2B5EF4-FFF2-40B4-BE49-F238E27FC236}">
              <a16:creationId xmlns:a16="http://schemas.microsoft.com/office/drawing/2014/main" id="{B2FA5868-A80F-1F6A-F0DE-02423547F3E2}"/>
            </a:ext>
          </a:extLst>
        </xdr:cNvPr>
        <xdr:cNvSpPr/>
      </xdr:nvSpPr>
      <xdr:spPr>
        <a:xfrm>
          <a:off x="12242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172</xdr:col>
      <xdr:colOff>9525</xdr:colOff>
      <xdr:row>1</xdr:row>
      <xdr:rowOff>12700</xdr:rowOff>
    </xdr:from>
    <xdr:to>
      <xdr:col>172</xdr:col>
      <xdr:colOff>94485</xdr:colOff>
      <xdr:row>1</xdr:row>
      <xdr:rowOff>127000</xdr:rowOff>
    </xdr:to>
    <xdr:sp macro="" textlink="">
      <xdr:nvSpPr>
        <xdr:cNvPr id="187" name="OpenSolver186">
          <a:extLst>
            <a:ext uri="{FF2B5EF4-FFF2-40B4-BE49-F238E27FC236}">
              <a16:creationId xmlns:a16="http://schemas.microsoft.com/office/drawing/2014/main" id="{9BF85EE6-A0FB-97C4-CCDB-96830C84FABF}"/>
            </a:ext>
          </a:extLst>
        </xdr:cNvPr>
        <xdr:cNvSpPr/>
      </xdr:nvSpPr>
      <xdr:spPr>
        <a:xfrm>
          <a:off x="12313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173</xdr:col>
      <xdr:colOff>6350</xdr:colOff>
      <xdr:row>1</xdr:row>
      <xdr:rowOff>12700</xdr:rowOff>
    </xdr:from>
    <xdr:to>
      <xdr:col>173</xdr:col>
      <xdr:colOff>91310</xdr:colOff>
      <xdr:row>1</xdr:row>
      <xdr:rowOff>127000</xdr:rowOff>
    </xdr:to>
    <xdr:sp macro="" textlink="">
      <xdr:nvSpPr>
        <xdr:cNvPr id="188" name="OpenSolver187">
          <a:extLst>
            <a:ext uri="{FF2B5EF4-FFF2-40B4-BE49-F238E27FC236}">
              <a16:creationId xmlns:a16="http://schemas.microsoft.com/office/drawing/2014/main" id="{BAA3FCB5-05A4-5BDA-8C06-281BD45B6E0F}"/>
            </a:ext>
          </a:extLst>
        </xdr:cNvPr>
        <xdr:cNvSpPr/>
      </xdr:nvSpPr>
      <xdr:spPr>
        <a:xfrm>
          <a:off x="12385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174</xdr:col>
      <xdr:colOff>15875</xdr:colOff>
      <xdr:row>1</xdr:row>
      <xdr:rowOff>12700</xdr:rowOff>
    </xdr:from>
    <xdr:to>
      <xdr:col>174</xdr:col>
      <xdr:colOff>100835</xdr:colOff>
      <xdr:row>1</xdr:row>
      <xdr:rowOff>127000</xdr:rowOff>
    </xdr:to>
    <xdr:sp macro="" textlink="">
      <xdr:nvSpPr>
        <xdr:cNvPr id="189" name="OpenSolver188">
          <a:extLst>
            <a:ext uri="{FF2B5EF4-FFF2-40B4-BE49-F238E27FC236}">
              <a16:creationId xmlns:a16="http://schemas.microsoft.com/office/drawing/2014/main" id="{F9AB2B29-39A7-808A-DB2E-04EC0F97771C}"/>
            </a:ext>
          </a:extLst>
        </xdr:cNvPr>
        <xdr:cNvSpPr/>
      </xdr:nvSpPr>
      <xdr:spPr>
        <a:xfrm>
          <a:off x="12457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175</xdr:col>
      <xdr:colOff>12700</xdr:colOff>
      <xdr:row>1</xdr:row>
      <xdr:rowOff>12700</xdr:rowOff>
    </xdr:from>
    <xdr:to>
      <xdr:col>175</xdr:col>
      <xdr:colOff>97660</xdr:colOff>
      <xdr:row>1</xdr:row>
      <xdr:rowOff>127000</xdr:rowOff>
    </xdr:to>
    <xdr:sp macro="" textlink="">
      <xdr:nvSpPr>
        <xdr:cNvPr id="190" name="OpenSolver189">
          <a:extLst>
            <a:ext uri="{FF2B5EF4-FFF2-40B4-BE49-F238E27FC236}">
              <a16:creationId xmlns:a16="http://schemas.microsoft.com/office/drawing/2014/main" id="{33DAC9B4-DB21-7422-EB00-76180D1B2525}"/>
            </a:ext>
          </a:extLst>
        </xdr:cNvPr>
        <xdr:cNvSpPr/>
      </xdr:nvSpPr>
      <xdr:spPr>
        <a:xfrm>
          <a:off x="12528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176</xdr:col>
      <xdr:colOff>9525</xdr:colOff>
      <xdr:row>1</xdr:row>
      <xdr:rowOff>12700</xdr:rowOff>
    </xdr:from>
    <xdr:to>
      <xdr:col>176</xdr:col>
      <xdr:colOff>94485</xdr:colOff>
      <xdr:row>1</xdr:row>
      <xdr:rowOff>127000</xdr:rowOff>
    </xdr:to>
    <xdr:sp macro="" textlink="">
      <xdr:nvSpPr>
        <xdr:cNvPr id="191" name="OpenSolver190">
          <a:extLst>
            <a:ext uri="{FF2B5EF4-FFF2-40B4-BE49-F238E27FC236}">
              <a16:creationId xmlns:a16="http://schemas.microsoft.com/office/drawing/2014/main" id="{AD6C5AEF-BF17-EB6C-8900-E4EAF270BC80}"/>
            </a:ext>
          </a:extLst>
        </xdr:cNvPr>
        <xdr:cNvSpPr/>
      </xdr:nvSpPr>
      <xdr:spPr>
        <a:xfrm>
          <a:off x="12599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177</xdr:col>
      <xdr:colOff>19050</xdr:colOff>
      <xdr:row>1</xdr:row>
      <xdr:rowOff>12700</xdr:rowOff>
    </xdr:from>
    <xdr:to>
      <xdr:col>177</xdr:col>
      <xdr:colOff>104010</xdr:colOff>
      <xdr:row>1</xdr:row>
      <xdr:rowOff>127000</xdr:rowOff>
    </xdr:to>
    <xdr:sp macro="" textlink="">
      <xdr:nvSpPr>
        <xdr:cNvPr id="192" name="OpenSolver191">
          <a:extLst>
            <a:ext uri="{FF2B5EF4-FFF2-40B4-BE49-F238E27FC236}">
              <a16:creationId xmlns:a16="http://schemas.microsoft.com/office/drawing/2014/main" id="{E9ADEE12-88DC-F604-8C8C-C74ED2F08398}"/>
            </a:ext>
          </a:extLst>
        </xdr:cNvPr>
        <xdr:cNvSpPr/>
      </xdr:nvSpPr>
      <xdr:spPr>
        <a:xfrm>
          <a:off x="12672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178</xdr:col>
      <xdr:colOff>15875</xdr:colOff>
      <xdr:row>1</xdr:row>
      <xdr:rowOff>12700</xdr:rowOff>
    </xdr:from>
    <xdr:to>
      <xdr:col>178</xdr:col>
      <xdr:colOff>100835</xdr:colOff>
      <xdr:row>1</xdr:row>
      <xdr:rowOff>127000</xdr:rowOff>
    </xdr:to>
    <xdr:sp macro="" textlink="">
      <xdr:nvSpPr>
        <xdr:cNvPr id="193" name="OpenSolver192">
          <a:extLst>
            <a:ext uri="{FF2B5EF4-FFF2-40B4-BE49-F238E27FC236}">
              <a16:creationId xmlns:a16="http://schemas.microsoft.com/office/drawing/2014/main" id="{F4183565-5A29-D480-01F1-660EC0C92479}"/>
            </a:ext>
          </a:extLst>
        </xdr:cNvPr>
        <xdr:cNvSpPr/>
      </xdr:nvSpPr>
      <xdr:spPr>
        <a:xfrm>
          <a:off x="12743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179</xdr:col>
      <xdr:colOff>12700</xdr:colOff>
      <xdr:row>1</xdr:row>
      <xdr:rowOff>12700</xdr:rowOff>
    </xdr:from>
    <xdr:to>
      <xdr:col>179</xdr:col>
      <xdr:colOff>97660</xdr:colOff>
      <xdr:row>1</xdr:row>
      <xdr:rowOff>127000</xdr:rowOff>
    </xdr:to>
    <xdr:sp macro="" textlink="">
      <xdr:nvSpPr>
        <xdr:cNvPr id="194" name="OpenSolver193">
          <a:extLst>
            <a:ext uri="{FF2B5EF4-FFF2-40B4-BE49-F238E27FC236}">
              <a16:creationId xmlns:a16="http://schemas.microsoft.com/office/drawing/2014/main" id="{3235B490-76C2-CE62-B157-F5E22AA184FE}"/>
            </a:ext>
          </a:extLst>
        </xdr:cNvPr>
        <xdr:cNvSpPr/>
      </xdr:nvSpPr>
      <xdr:spPr>
        <a:xfrm>
          <a:off x="12814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180</xdr:col>
      <xdr:colOff>9525</xdr:colOff>
      <xdr:row>1</xdr:row>
      <xdr:rowOff>12700</xdr:rowOff>
    </xdr:from>
    <xdr:to>
      <xdr:col>180</xdr:col>
      <xdr:colOff>94485</xdr:colOff>
      <xdr:row>1</xdr:row>
      <xdr:rowOff>127000</xdr:rowOff>
    </xdr:to>
    <xdr:sp macro="" textlink="">
      <xdr:nvSpPr>
        <xdr:cNvPr id="195" name="OpenSolver194">
          <a:extLst>
            <a:ext uri="{FF2B5EF4-FFF2-40B4-BE49-F238E27FC236}">
              <a16:creationId xmlns:a16="http://schemas.microsoft.com/office/drawing/2014/main" id="{B34889B1-D688-B50E-6148-4258580B12AE}"/>
            </a:ext>
          </a:extLst>
        </xdr:cNvPr>
        <xdr:cNvSpPr/>
      </xdr:nvSpPr>
      <xdr:spPr>
        <a:xfrm>
          <a:off x="12885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181</xdr:col>
      <xdr:colOff>6350</xdr:colOff>
      <xdr:row>1</xdr:row>
      <xdr:rowOff>12700</xdr:rowOff>
    </xdr:from>
    <xdr:to>
      <xdr:col>181</xdr:col>
      <xdr:colOff>91310</xdr:colOff>
      <xdr:row>1</xdr:row>
      <xdr:rowOff>127000</xdr:rowOff>
    </xdr:to>
    <xdr:sp macro="" textlink="">
      <xdr:nvSpPr>
        <xdr:cNvPr id="196" name="OpenSolver195">
          <a:extLst>
            <a:ext uri="{FF2B5EF4-FFF2-40B4-BE49-F238E27FC236}">
              <a16:creationId xmlns:a16="http://schemas.microsoft.com/office/drawing/2014/main" id="{DAF96C6F-DF5C-9903-FCE5-F5274FC64BB7}"/>
            </a:ext>
          </a:extLst>
        </xdr:cNvPr>
        <xdr:cNvSpPr/>
      </xdr:nvSpPr>
      <xdr:spPr>
        <a:xfrm>
          <a:off x="12956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182</xdr:col>
      <xdr:colOff>15875</xdr:colOff>
      <xdr:row>1</xdr:row>
      <xdr:rowOff>12700</xdr:rowOff>
    </xdr:from>
    <xdr:to>
      <xdr:col>182</xdr:col>
      <xdr:colOff>100835</xdr:colOff>
      <xdr:row>1</xdr:row>
      <xdr:rowOff>127000</xdr:rowOff>
    </xdr:to>
    <xdr:sp macro="" textlink="">
      <xdr:nvSpPr>
        <xdr:cNvPr id="197" name="OpenSolver196">
          <a:extLst>
            <a:ext uri="{FF2B5EF4-FFF2-40B4-BE49-F238E27FC236}">
              <a16:creationId xmlns:a16="http://schemas.microsoft.com/office/drawing/2014/main" id="{A323A214-F3E3-60EF-4B10-1BDB0E2C4403}"/>
            </a:ext>
          </a:extLst>
        </xdr:cNvPr>
        <xdr:cNvSpPr/>
      </xdr:nvSpPr>
      <xdr:spPr>
        <a:xfrm>
          <a:off x="13028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183</xdr:col>
      <xdr:colOff>12700</xdr:colOff>
      <xdr:row>1</xdr:row>
      <xdr:rowOff>12700</xdr:rowOff>
    </xdr:from>
    <xdr:to>
      <xdr:col>183</xdr:col>
      <xdr:colOff>97660</xdr:colOff>
      <xdr:row>1</xdr:row>
      <xdr:rowOff>127000</xdr:rowOff>
    </xdr:to>
    <xdr:sp macro="" textlink="">
      <xdr:nvSpPr>
        <xdr:cNvPr id="198" name="OpenSolver197">
          <a:extLst>
            <a:ext uri="{FF2B5EF4-FFF2-40B4-BE49-F238E27FC236}">
              <a16:creationId xmlns:a16="http://schemas.microsoft.com/office/drawing/2014/main" id="{58380CC2-1541-06DB-9027-E900A7FD8135}"/>
            </a:ext>
          </a:extLst>
        </xdr:cNvPr>
        <xdr:cNvSpPr/>
      </xdr:nvSpPr>
      <xdr:spPr>
        <a:xfrm>
          <a:off x="13100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184</xdr:col>
      <xdr:colOff>9525</xdr:colOff>
      <xdr:row>1</xdr:row>
      <xdr:rowOff>12700</xdr:rowOff>
    </xdr:from>
    <xdr:to>
      <xdr:col>184</xdr:col>
      <xdr:colOff>94485</xdr:colOff>
      <xdr:row>1</xdr:row>
      <xdr:rowOff>127000</xdr:rowOff>
    </xdr:to>
    <xdr:sp macro="" textlink="">
      <xdr:nvSpPr>
        <xdr:cNvPr id="199" name="OpenSolver198">
          <a:extLst>
            <a:ext uri="{FF2B5EF4-FFF2-40B4-BE49-F238E27FC236}">
              <a16:creationId xmlns:a16="http://schemas.microsoft.com/office/drawing/2014/main" id="{1F79E2F7-2DD3-46DE-004B-CBACEFCD59BE}"/>
            </a:ext>
          </a:extLst>
        </xdr:cNvPr>
        <xdr:cNvSpPr/>
      </xdr:nvSpPr>
      <xdr:spPr>
        <a:xfrm>
          <a:off x="13171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185</xdr:col>
      <xdr:colOff>19050</xdr:colOff>
      <xdr:row>1</xdr:row>
      <xdr:rowOff>12700</xdr:rowOff>
    </xdr:from>
    <xdr:to>
      <xdr:col>185</xdr:col>
      <xdr:colOff>104010</xdr:colOff>
      <xdr:row>1</xdr:row>
      <xdr:rowOff>127000</xdr:rowOff>
    </xdr:to>
    <xdr:sp macro="" textlink="">
      <xdr:nvSpPr>
        <xdr:cNvPr id="200" name="OpenSolver199">
          <a:extLst>
            <a:ext uri="{FF2B5EF4-FFF2-40B4-BE49-F238E27FC236}">
              <a16:creationId xmlns:a16="http://schemas.microsoft.com/office/drawing/2014/main" id="{D130A257-C525-82D1-BFF1-BC77D3DDFA24}"/>
            </a:ext>
          </a:extLst>
        </xdr:cNvPr>
        <xdr:cNvSpPr/>
      </xdr:nvSpPr>
      <xdr:spPr>
        <a:xfrm>
          <a:off x="13243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186</xdr:col>
      <xdr:colOff>15875</xdr:colOff>
      <xdr:row>1</xdr:row>
      <xdr:rowOff>12700</xdr:rowOff>
    </xdr:from>
    <xdr:to>
      <xdr:col>186</xdr:col>
      <xdr:colOff>100835</xdr:colOff>
      <xdr:row>1</xdr:row>
      <xdr:rowOff>127000</xdr:rowOff>
    </xdr:to>
    <xdr:sp macro="" textlink="">
      <xdr:nvSpPr>
        <xdr:cNvPr id="201" name="OpenSolver200">
          <a:extLst>
            <a:ext uri="{FF2B5EF4-FFF2-40B4-BE49-F238E27FC236}">
              <a16:creationId xmlns:a16="http://schemas.microsoft.com/office/drawing/2014/main" id="{E049BD7F-5368-EA52-D54E-E5353F617349}"/>
            </a:ext>
          </a:extLst>
        </xdr:cNvPr>
        <xdr:cNvSpPr/>
      </xdr:nvSpPr>
      <xdr:spPr>
        <a:xfrm>
          <a:off x="133146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187</xdr:col>
      <xdr:colOff>12700</xdr:colOff>
      <xdr:row>1</xdr:row>
      <xdr:rowOff>12700</xdr:rowOff>
    </xdr:from>
    <xdr:to>
      <xdr:col>187</xdr:col>
      <xdr:colOff>97660</xdr:colOff>
      <xdr:row>1</xdr:row>
      <xdr:rowOff>127000</xdr:rowOff>
    </xdr:to>
    <xdr:sp macro="" textlink="">
      <xdr:nvSpPr>
        <xdr:cNvPr id="202" name="OpenSolver201">
          <a:extLst>
            <a:ext uri="{FF2B5EF4-FFF2-40B4-BE49-F238E27FC236}">
              <a16:creationId xmlns:a16="http://schemas.microsoft.com/office/drawing/2014/main" id="{CFCFF841-8614-F3F0-8870-D62B35289106}"/>
            </a:ext>
          </a:extLst>
        </xdr:cNvPr>
        <xdr:cNvSpPr/>
      </xdr:nvSpPr>
      <xdr:spPr>
        <a:xfrm>
          <a:off x="133858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188</xdr:col>
      <xdr:colOff>9525</xdr:colOff>
      <xdr:row>1</xdr:row>
      <xdr:rowOff>12700</xdr:rowOff>
    </xdr:from>
    <xdr:to>
      <xdr:col>188</xdr:col>
      <xdr:colOff>94485</xdr:colOff>
      <xdr:row>1</xdr:row>
      <xdr:rowOff>127000</xdr:rowOff>
    </xdr:to>
    <xdr:sp macro="" textlink="">
      <xdr:nvSpPr>
        <xdr:cNvPr id="203" name="OpenSolver202">
          <a:extLst>
            <a:ext uri="{FF2B5EF4-FFF2-40B4-BE49-F238E27FC236}">
              <a16:creationId xmlns:a16="http://schemas.microsoft.com/office/drawing/2014/main" id="{AFAAEA20-BF98-EE90-D1FC-0CD33E1A5AD5}"/>
            </a:ext>
          </a:extLst>
        </xdr:cNvPr>
        <xdr:cNvSpPr/>
      </xdr:nvSpPr>
      <xdr:spPr>
        <a:xfrm>
          <a:off x="134569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189</xdr:col>
      <xdr:colOff>6350</xdr:colOff>
      <xdr:row>1</xdr:row>
      <xdr:rowOff>12700</xdr:rowOff>
    </xdr:from>
    <xdr:to>
      <xdr:col>189</xdr:col>
      <xdr:colOff>91310</xdr:colOff>
      <xdr:row>1</xdr:row>
      <xdr:rowOff>127000</xdr:rowOff>
    </xdr:to>
    <xdr:sp macro="" textlink="">
      <xdr:nvSpPr>
        <xdr:cNvPr id="204" name="OpenSolver203">
          <a:extLst>
            <a:ext uri="{FF2B5EF4-FFF2-40B4-BE49-F238E27FC236}">
              <a16:creationId xmlns:a16="http://schemas.microsoft.com/office/drawing/2014/main" id="{139834EB-63EB-CDE0-FE74-C159EB3DDFD8}"/>
            </a:ext>
          </a:extLst>
        </xdr:cNvPr>
        <xdr:cNvSpPr/>
      </xdr:nvSpPr>
      <xdr:spPr>
        <a:xfrm>
          <a:off x="135280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190</xdr:col>
      <xdr:colOff>15875</xdr:colOff>
      <xdr:row>1</xdr:row>
      <xdr:rowOff>12700</xdr:rowOff>
    </xdr:from>
    <xdr:to>
      <xdr:col>190</xdr:col>
      <xdr:colOff>100835</xdr:colOff>
      <xdr:row>1</xdr:row>
      <xdr:rowOff>127000</xdr:rowOff>
    </xdr:to>
    <xdr:sp macro="" textlink="">
      <xdr:nvSpPr>
        <xdr:cNvPr id="205" name="OpenSolver204">
          <a:extLst>
            <a:ext uri="{FF2B5EF4-FFF2-40B4-BE49-F238E27FC236}">
              <a16:creationId xmlns:a16="http://schemas.microsoft.com/office/drawing/2014/main" id="{A640A61A-3784-6DAA-3055-0D9AF5AB08E0}"/>
            </a:ext>
          </a:extLst>
        </xdr:cNvPr>
        <xdr:cNvSpPr/>
      </xdr:nvSpPr>
      <xdr:spPr>
        <a:xfrm>
          <a:off x="136004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191</xdr:col>
      <xdr:colOff>12700</xdr:colOff>
      <xdr:row>1</xdr:row>
      <xdr:rowOff>12700</xdr:rowOff>
    </xdr:from>
    <xdr:to>
      <xdr:col>191</xdr:col>
      <xdr:colOff>97660</xdr:colOff>
      <xdr:row>1</xdr:row>
      <xdr:rowOff>127000</xdr:rowOff>
    </xdr:to>
    <xdr:sp macro="" textlink="">
      <xdr:nvSpPr>
        <xdr:cNvPr id="206" name="OpenSolver205">
          <a:extLst>
            <a:ext uri="{FF2B5EF4-FFF2-40B4-BE49-F238E27FC236}">
              <a16:creationId xmlns:a16="http://schemas.microsoft.com/office/drawing/2014/main" id="{4A0D93B5-BCD2-3168-FEC4-403DD053BDD5}"/>
            </a:ext>
          </a:extLst>
        </xdr:cNvPr>
        <xdr:cNvSpPr/>
      </xdr:nvSpPr>
      <xdr:spPr>
        <a:xfrm>
          <a:off x="136715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192</xdr:col>
      <xdr:colOff>9525</xdr:colOff>
      <xdr:row>1</xdr:row>
      <xdr:rowOff>12700</xdr:rowOff>
    </xdr:from>
    <xdr:to>
      <xdr:col>192</xdr:col>
      <xdr:colOff>94485</xdr:colOff>
      <xdr:row>1</xdr:row>
      <xdr:rowOff>127000</xdr:rowOff>
    </xdr:to>
    <xdr:sp macro="" textlink="">
      <xdr:nvSpPr>
        <xdr:cNvPr id="207" name="OpenSolver206">
          <a:extLst>
            <a:ext uri="{FF2B5EF4-FFF2-40B4-BE49-F238E27FC236}">
              <a16:creationId xmlns:a16="http://schemas.microsoft.com/office/drawing/2014/main" id="{4631B43F-DA18-669D-B0FF-B185BD1D7C55}"/>
            </a:ext>
          </a:extLst>
        </xdr:cNvPr>
        <xdr:cNvSpPr/>
      </xdr:nvSpPr>
      <xdr:spPr>
        <a:xfrm>
          <a:off x="137426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193</xdr:col>
      <xdr:colOff>19050</xdr:colOff>
      <xdr:row>1</xdr:row>
      <xdr:rowOff>12700</xdr:rowOff>
    </xdr:from>
    <xdr:to>
      <xdr:col>193</xdr:col>
      <xdr:colOff>104010</xdr:colOff>
      <xdr:row>1</xdr:row>
      <xdr:rowOff>127000</xdr:rowOff>
    </xdr:to>
    <xdr:sp macro="" textlink="">
      <xdr:nvSpPr>
        <xdr:cNvPr id="208" name="OpenSolver207">
          <a:extLst>
            <a:ext uri="{FF2B5EF4-FFF2-40B4-BE49-F238E27FC236}">
              <a16:creationId xmlns:a16="http://schemas.microsoft.com/office/drawing/2014/main" id="{0A3C87CA-8B48-8194-3F91-967FBB8298B7}"/>
            </a:ext>
          </a:extLst>
        </xdr:cNvPr>
        <xdr:cNvSpPr/>
      </xdr:nvSpPr>
      <xdr:spPr>
        <a:xfrm>
          <a:off x="138150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194</xdr:col>
      <xdr:colOff>15875</xdr:colOff>
      <xdr:row>1</xdr:row>
      <xdr:rowOff>12700</xdr:rowOff>
    </xdr:from>
    <xdr:to>
      <xdr:col>194</xdr:col>
      <xdr:colOff>100835</xdr:colOff>
      <xdr:row>1</xdr:row>
      <xdr:rowOff>127000</xdr:rowOff>
    </xdr:to>
    <xdr:sp macro="" textlink="">
      <xdr:nvSpPr>
        <xdr:cNvPr id="209" name="OpenSolver208">
          <a:extLst>
            <a:ext uri="{FF2B5EF4-FFF2-40B4-BE49-F238E27FC236}">
              <a16:creationId xmlns:a16="http://schemas.microsoft.com/office/drawing/2014/main" id="{E5DE9D1E-1D5A-509B-F18D-127361BF4CC5}"/>
            </a:ext>
          </a:extLst>
        </xdr:cNvPr>
        <xdr:cNvSpPr/>
      </xdr:nvSpPr>
      <xdr:spPr>
        <a:xfrm>
          <a:off x="1388618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195</xdr:col>
      <xdr:colOff>12700</xdr:colOff>
      <xdr:row>1</xdr:row>
      <xdr:rowOff>12700</xdr:rowOff>
    </xdr:from>
    <xdr:to>
      <xdr:col>195</xdr:col>
      <xdr:colOff>97660</xdr:colOff>
      <xdr:row>1</xdr:row>
      <xdr:rowOff>127000</xdr:rowOff>
    </xdr:to>
    <xdr:sp macro="" textlink="">
      <xdr:nvSpPr>
        <xdr:cNvPr id="210" name="OpenSolver209">
          <a:extLst>
            <a:ext uri="{FF2B5EF4-FFF2-40B4-BE49-F238E27FC236}">
              <a16:creationId xmlns:a16="http://schemas.microsoft.com/office/drawing/2014/main" id="{56D46BC5-A8BD-DB6F-40DD-6AF24D993AD0}"/>
            </a:ext>
          </a:extLst>
        </xdr:cNvPr>
        <xdr:cNvSpPr/>
      </xdr:nvSpPr>
      <xdr:spPr>
        <a:xfrm>
          <a:off x="1395730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196</xdr:col>
      <xdr:colOff>9525</xdr:colOff>
      <xdr:row>1</xdr:row>
      <xdr:rowOff>12700</xdr:rowOff>
    </xdr:from>
    <xdr:to>
      <xdr:col>196</xdr:col>
      <xdr:colOff>94485</xdr:colOff>
      <xdr:row>1</xdr:row>
      <xdr:rowOff>127000</xdr:rowOff>
    </xdr:to>
    <xdr:sp macro="" textlink="">
      <xdr:nvSpPr>
        <xdr:cNvPr id="211" name="OpenSolver210">
          <a:extLst>
            <a:ext uri="{FF2B5EF4-FFF2-40B4-BE49-F238E27FC236}">
              <a16:creationId xmlns:a16="http://schemas.microsoft.com/office/drawing/2014/main" id="{67CD8075-7905-63AB-37CC-CACB22BAA434}"/>
            </a:ext>
          </a:extLst>
        </xdr:cNvPr>
        <xdr:cNvSpPr/>
      </xdr:nvSpPr>
      <xdr:spPr>
        <a:xfrm>
          <a:off x="1402842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197</xdr:col>
      <xdr:colOff>6350</xdr:colOff>
      <xdr:row>1</xdr:row>
      <xdr:rowOff>12700</xdr:rowOff>
    </xdr:from>
    <xdr:to>
      <xdr:col>197</xdr:col>
      <xdr:colOff>91310</xdr:colOff>
      <xdr:row>1</xdr:row>
      <xdr:rowOff>127000</xdr:rowOff>
    </xdr:to>
    <xdr:sp macro="" textlink="">
      <xdr:nvSpPr>
        <xdr:cNvPr id="212" name="OpenSolver211">
          <a:extLst>
            <a:ext uri="{FF2B5EF4-FFF2-40B4-BE49-F238E27FC236}">
              <a16:creationId xmlns:a16="http://schemas.microsoft.com/office/drawing/2014/main" id="{85CC404B-2E47-C5E5-3FEC-260EFB29F839}"/>
            </a:ext>
          </a:extLst>
        </xdr:cNvPr>
        <xdr:cNvSpPr/>
      </xdr:nvSpPr>
      <xdr:spPr>
        <a:xfrm>
          <a:off x="1409954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198</xdr:col>
      <xdr:colOff>15875</xdr:colOff>
      <xdr:row>1</xdr:row>
      <xdr:rowOff>12700</xdr:rowOff>
    </xdr:from>
    <xdr:to>
      <xdr:col>198</xdr:col>
      <xdr:colOff>100835</xdr:colOff>
      <xdr:row>1</xdr:row>
      <xdr:rowOff>127000</xdr:rowOff>
    </xdr:to>
    <xdr:sp macro="" textlink="">
      <xdr:nvSpPr>
        <xdr:cNvPr id="213" name="OpenSolver212">
          <a:extLst>
            <a:ext uri="{FF2B5EF4-FFF2-40B4-BE49-F238E27FC236}">
              <a16:creationId xmlns:a16="http://schemas.microsoft.com/office/drawing/2014/main" id="{38F4AAFA-3AE3-A550-AB22-9B81294E7F35}"/>
            </a:ext>
          </a:extLst>
        </xdr:cNvPr>
        <xdr:cNvSpPr/>
      </xdr:nvSpPr>
      <xdr:spPr>
        <a:xfrm>
          <a:off x="1417193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199</xdr:col>
      <xdr:colOff>12700</xdr:colOff>
      <xdr:row>1</xdr:row>
      <xdr:rowOff>12700</xdr:rowOff>
    </xdr:from>
    <xdr:to>
      <xdr:col>199</xdr:col>
      <xdr:colOff>97660</xdr:colOff>
      <xdr:row>1</xdr:row>
      <xdr:rowOff>127000</xdr:rowOff>
    </xdr:to>
    <xdr:sp macro="" textlink="">
      <xdr:nvSpPr>
        <xdr:cNvPr id="214" name="OpenSolver213">
          <a:extLst>
            <a:ext uri="{FF2B5EF4-FFF2-40B4-BE49-F238E27FC236}">
              <a16:creationId xmlns:a16="http://schemas.microsoft.com/office/drawing/2014/main" id="{FA7D2C78-65D8-9198-0507-F2F0D6053278}"/>
            </a:ext>
          </a:extLst>
        </xdr:cNvPr>
        <xdr:cNvSpPr/>
      </xdr:nvSpPr>
      <xdr:spPr>
        <a:xfrm>
          <a:off x="1424305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200</xdr:col>
      <xdr:colOff>9525</xdr:colOff>
      <xdr:row>1</xdr:row>
      <xdr:rowOff>12700</xdr:rowOff>
    </xdr:from>
    <xdr:to>
      <xdr:col>200</xdr:col>
      <xdr:colOff>94485</xdr:colOff>
      <xdr:row>1</xdr:row>
      <xdr:rowOff>127000</xdr:rowOff>
    </xdr:to>
    <xdr:sp macro="" textlink="">
      <xdr:nvSpPr>
        <xdr:cNvPr id="215" name="OpenSolver214">
          <a:extLst>
            <a:ext uri="{FF2B5EF4-FFF2-40B4-BE49-F238E27FC236}">
              <a16:creationId xmlns:a16="http://schemas.microsoft.com/office/drawing/2014/main" id="{B0DCB322-D223-51AD-D466-0DCDBED32742}"/>
            </a:ext>
          </a:extLst>
        </xdr:cNvPr>
        <xdr:cNvSpPr/>
      </xdr:nvSpPr>
      <xdr:spPr>
        <a:xfrm>
          <a:off x="1431417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201</xdr:col>
      <xdr:colOff>19050</xdr:colOff>
      <xdr:row>1</xdr:row>
      <xdr:rowOff>12700</xdr:rowOff>
    </xdr:from>
    <xdr:to>
      <xdr:col>201</xdr:col>
      <xdr:colOff>104010</xdr:colOff>
      <xdr:row>1</xdr:row>
      <xdr:rowOff>127000</xdr:rowOff>
    </xdr:to>
    <xdr:sp macro="" textlink="">
      <xdr:nvSpPr>
        <xdr:cNvPr id="216" name="OpenSolver215">
          <a:extLst>
            <a:ext uri="{FF2B5EF4-FFF2-40B4-BE49-F238E27FC236}">
              <a16:creationId xmlns:a16="http://schemas.microsoft.com/office/drawing/2014/main" id="{4AF0ACC4-ECE2-B603-D40E-935C8094103C}"/>
            </a:ext>
          </a:extLst>
        </xdr:cNvPr>
        <xdr:cNvSpPr/>
      </xdr:nvSpPr>
      <xdr:spPr>
        <a:xfrm>
          <a:off x="143865600" y="203200"/>
          <a:ext cx="84960" cy="114300"/>
        </a:xfrm>
        <a:prstGeom prst="rect">
          <a:avLst/>
        </a:prstGeom>
        <a:solidFill>
          <a:srgbClr val="FFFFFF">
            <a:alpha val="80000"/>
          </a:srgbClr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s-CO" sz="900">
              <a:solidFill>
                <a:srgbClr val="000000"/>
              </a:solidFill>
            </a:rPr>
            <a:t>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BD51-6622-4D9B-BB6D-5B1259E91231}">
  <dimension ref="A1:G882"/>
  <sheetViews>
    <sheetView showGridLines="0" topLeftCell="A847" workbookViewId="0">
      <selection activeCell="B227" sqref="B227"/>
    </sheetView>
  </sheetViews>
  <sheetFormatPr baseColWidth="10" defaultRowHeight="15" outlineLevelRow="1" x14ac:dyDescent="0.25"/>
  <cols>
    <col min="1" max="1" width="2.28515625" customWidth="1"/>
    <col min="2" max="2" width="14.42578125" bestFit="1" customWidth="1"/>
    <col min="3" max="3" width="8.5703125" bestFit="1" customWidth="1"/>
    <col min="4" max="4" width="15.5703125" bestFit="1" customWidth="1"/>
    <col min="5" max="5" width="16.140625" bestFit="1" customWidth="1"/>
    <col min="6" max="6" width="13.140625" bestFit="1" customWidth="1"/>
    <col min="7" max="7" width="8.140625" bestFit="1" customWidth="1"/>
  </cols>
  <sheetData>
    <row r="1" spans="1:5" x14ac:dyDescent="0.25">
      <c r="A1" s="2" t="s">
        <v>260</v>
      </c>
    </row>
    <row r="2" spans="1:5" x14ac:dyDescent="0.25">
      <c r="A2" s="2" t="s">
        <v>261</v>
      </c>
    </row>
    <row r="3" spans="1:5" x14ac:dyDescent="0.25">
      <c r="A3" s="2" t="s">
        <v>262</v>
      </c>
    </row>
    <row r="4" spans="1:5" x14ac:dyDescent="0.25">
      <c r="A4" s="2" t="s">
        <v>263</v>
      </c>
    </row>
    <row r="5" spans="1:5" x14ac:dyDescent="0.25">
      <c r="A5" s="2" t="s">
        <v>264</v>
      </c>
    </row>
    <row r="6" spans="1:5" hidden="1" outlineLevel="1" x14ac:dyDescent="0.25">
      <c r="A6" s="2"/>
      <c r="B6" t="s">
        <v>265</v>
      </c>
    </row>
    <row r="7" spans="1:5" hidden="1" outlineLevel="1" x14ac:dyDescent="0.25">
      <c r="A7" s="2"/>
      <c r="B7" t="s">
        <v>266</v>
      </c>
    </row>
    <row r="8" spans="1:5" hidden="1" outlineLevel="1" x14ac:dyDescent="0.25">
      <c r="A8" s="2"/>
      <c r="B8" t="s">
        <v>267</v>
      </c>
    </row>
    <row r="9" spans="1:5" collapsed="1" x14ac:dyDescent="0.25">
      <c r="A9" s="2" t="s">
        <v>268</v>
      </c>
    </row>
    <row r="10" spans="1:5" hidden="1" outlineLevel="1" x14ac:dyDescent="0.25">
      <c r="B10" t="s">
        <v>269</v>
      </c>
    </row>
    <row r="11" spans="1:5" hidden="1" outlineLevel="1" x14ac:dyDescent="0.25">
      <c r="B11" t="s">
        <v>270</v>
      </c>
    </row>
    <row r="12" spans="1:5" collapsed="1" x14ac:dyDescent="0.25"/>
    <row r="14" spans="1:5" ht="15.75" thickBot="1" x14ac:dyDescent="0.3">
      <c r="A14" t="s">
        <v>271</v>
      </c>
    </row>
    <row r="15" spans="1:5" ht="15.75" thickBot="1" x14ac:dyDescent="0.3">
      <c r="B15" s="5" t="s">
        <v>272</v>
      </c>
      <c r="C15" s="5" t="s">
        <v>273</v>
      </c>
      <c r="D15" s="5" t="s">
        <v>274</v>
      </c>
      <c r="E15" s="5" t="s">
        <v>275</v>
      </c>
    </row>
    <row r="16" spans="1:5" ht="15.75" thickBot="1" x14ac:dyDescent="0.3">
      <c r="B16" s="4" t="s">
        <v>283</v>
      </c>
      <c r="C16" s="4" t="s">
        <v>255</v>
      </c>
      <c r="D16" s="8">
        <v>91</v>
      </c>
      <c r="E16" s="8">
        <v>91</v>
      </c>
    </row>
    <row r="19" spans="1:6" ht="15.75" thickBot="1" x14ac:dyDescent="0.3">
      <c r="A19" t="s">
        <v>276</v>
      </c>
    </row>
    <row r="20" spans="1:6" ht="15.75" thickBot="1" x14ac:dyDescent="0.3">
      <c r="B20" s="5" t="s">
        <v>272</v>
      </c>
      <c r="C20" s="5" t="s">
        <v>273</v>
      </c>
      <c r="D20" s="5" t="s">
        <v>274</v>
      </c>
      <c r="E20" s="5" t="s">
        <v>275</v>
      </c>
      <c r="F20" s="5" t="s">
        <v>277</v>
      </c>
    </row>
    <row r="21" spans="1:6" x14ac:dyDescent="0.25">
      <c r="B21" s="12" t="s">
        <v>1387</v>
      </c>
      <c r="C21" s="11"/>
      <c r="D21" s="11"/>
      <c r="E21" s="11"/>
      <c r="F21" s="11"/>
    </row>
    <row r="22" spans="1:6" hidden="1" outlineLevel="1" x14ac:dyDescent="0.25">
      <c r="B22" s="7" t="s">
        <v>284</v>
      </c>
      <c r="C22" s="7" t="s">
        <v>285</v>
      </c>
      <c r="D22" s="9">
        <v>0</v>
      </c>
      <c r="E22" s="9">
        <v>0</v>
      </c>
      <c r="F22" s="7" t="s">
        <v>1187</v>
      </c>
    </row>
    <row r="23" spans="1:6" hidden="1" outlineLevel="1" x14ac:dyDescent="0.25">
      <c r="B23" s="7" t="s">
        <v>286</v>
      </c>
      <c r="C23" s="7" t="s">
        <v>287</v>
      </c>
      <c r="D23" s="9">
        <v>0</v>
      </c>
      <c r="E23" s="9">
        <v>0</v>
      </c>
      <c r="F23" s="7" t="s">
        <v>1187</v>
      </c>
    </row>
    <row r="24" spans="1:6" hidden="1" outlineLevel="1" x14ac:dyDescent="0.25">
      <c r="B24" s="7" t="s">
        <v>288</v>
      </c>
      <c r="C24" s="7" t="s">
        <v>289</v>
      </c>
      <c r="D24" s="9">
        <v>1</v>
      </c>
      <c r="E24" s="9">
        <v>1</v>
      </c>
      <c r="F24" s="7" t="s">
        <v>1187</v>
      </c>
    </row>
    <row r="25" spans="1:6" hidden="1" outlineLevel="1" x14ac:dyDescent="0.25">
      <c r="B25" s="7" t="s">
        <v>290</v>
      </c>
      <c r="C25" s="7" t="s">
        <v>291</v>
      </c>
      <c r="D25" s="9">
        <v>0</v>
      </c>
      <c r="E25" s="9">
        <v>0</v>
      </c>
      <c r="F25" s="7" t="s">
        <v>1187</v>
      </c>
    </row>
    <row r="26" spans="1:6" hidden="1" outlineLevel="1" x14ac:dyDescent="0.25">
      <c r="B26" s="7" t="s">
        <v>292</v>
      </c>
      <c r="C26" s="7" t="s">
        <v>293</v>
      </c>
      <c r="D26" s="9">
        <v>0</v>
      </c>
      <c r="E26" s="9">
        <v>0</v>
      </c>
      <c r="F26" s="7" t="s">
        <v>1187</v>
      </c>
    </row>
    <row r="27" spans="1:6" hidden="1" outlineLevel="1" x14ac:dyDescent="0.25">
      <c r="B27" s="7" t="s">
        <v>294</v>
      </c>
      <c r="C27" s="7" t="s">
        <v>295</v>
      </c>
      <c r="D27" s="9">
        <v>0</v>
      </c>
      <c r="E27" s="9">
        <v>0</v>
      </c>
      <c r="F27" s="7" t="s">
        <v>1187</v>
      </c>
    </row>
    <row r="28" spans="1:6" hidden="1" outlineLevel="1" x14ac:dyDescent="0.25">
      <c r="B28" s="7" t="s">
        <v>296</v>
      </c>
      <c r="C28" s="7" t="s">
        <v>297</v>
      </c>
      <c r="D28" s="9">
        <v>0</v>
      </c>
      <c r="E28" s="9">
        <v>0</v>
      </c>
      <c r="F28" s="7" t="s">
        <v>1187</v>
      </c>
    </row>
    <row r="29" spans="1:6" hidden="1" outlineLevel="1" x14ac:dyDescent="0.25">
      <c r="B29" s="7" t="s">
        <v>298</v>
      </c>
      <c r="C29" s="7" t="s">
        <v>299</v>
      </c>
      <c r="D29" s="9">
        <v>0</v>
      </c>
      <c r="E29" s="9">
        <v>0</v>
      </c>
      <c r="F29" s="7" t="s">
        <v>1187</v>
      </c>
    </row>
    <row r="30" spans="1:6" hidden="1" outlineLevel="1" x14ac:dyDescent="0.25">
      <c r="B30" s="7" t="s">
        <v>300</v>
      </c>
      <c r="C30" s="7" t="s">
        <v>301</v>
      </c>
      <c r="D30" s="9">
        <v>0</v>
      </c>
      <c r="E30" s="9">
        <v>0</v>
      </c>
      <c r="F30" s="7" t="s">
        <v>1187</v>
      </c>
    </row>
    <row r="31" spans="1:6" hidden="1" outlineLevel="1" x14ac:dyDescent="0.25">
      <c r="B31" s="7" t="s">
        <v>302</v>
      </c>
      <c r="C31" s="7" t="s">
        <v>303</v>
      </c>
      <c r="D31" s="9">
        <v>1</v>
      </c>
      <c r="E31" s="9">
        <v>1</v>
      </c>
      <c r="F31" s="7" t="s">
        <v>1187</v>
      </c>
    </row>
    <row r="32" spans="1:6" hidden="1" outlineLevel="1" x14ac:dyDescent="0.25">
      <c r="B32" s="7" t="s">
        <v>304</v>
      </c>
      <c r="C32" s="7" t="s">
        <v>305</v>
      </c>
      <c r="D32" s="9">
        <v>0</v>
      </c>
      <c r="E32" s="9">
        <v>0</v>
      </c>
      <c r="F32" s="7" t="s">
        <v>1187</v>
      </c>
    </row>
    <row r="33" spans="2:6" hidden="1" outlineLevel="1" x14ac:dyDescent="0.25">
      <c r="B33" s="7" t="s">
        <v>306</v>
      </c>
      <c r="C33" s="7" t="s">
        <v>307</v>
      </c>
      <c r="D33" s="9">
        <v>0</v>
      </c>
      <c r="E33" s="9">
        <v>0</v>
      </c>
      <c r="F33" s="7" t="s">
        <v>1187</v>
      </c>
    </row>
    <row r="34" spans="2:6" hidden="1" outlineLevel="1" x14ac:dyDescent="0.25">
      <c r="B34" s="7" t="s">
        <v>308</v>
      </c>
      <c r="C34" s="7" t="s">
        <v>309</v>
      </c>
      <c r="D34" s="9">
        <v>0</v>
      </c>
      <c r="E34" s="9">
        <v>0</v>
      </c>
      <c r="F34" s="7" t="s">
        <v>1187</v>
      </c>
    </row>
    <row r="35" spans="2:6" hidden="1" outlineLevel="1" x14ac:dyDescent="0.25">
      <c r="B35" s="7" t="s">
        <v>310</v>
      </c>
      <c r="C35" s="7" t="s">
        <v>311</v>
      </c>
      <c r="D35" s="9">
        <v>1</v>
      </c>
      <c r="E35" s="9">
        <v>1</v>
      </c>
      <c r="F35" s="7" t="s">
        <v>1187</v>
      </c>
    </row>
    <row r="36" spans="2:6" hidden="1" outlineLevel="1" x14ac:dyDescent="0.25">
      <c r="B36" s="7" t="s">
        <v>312</v>
      </c>
      <c r="C36" s="7" t="s">
        <v>313</v>
      </c>
      <c r="D36" s="9">
        <v>0</v>
      </c>
      <c r="E36" s="9">
        <v>0</v>
      </c>
      <c r="F36" s="7" t="s">
        <v>1187</v>
      </c>
    </row>
    <row r="37" spans="2:6" hidden="1" outlineLevel="1" x14ac:dyDescent="0.25">
      <c r="B37" s="7" t="s">
        <v>314</v>
      </c>
      <c r="C37" s="7" t="s">
        <v>315</v>
      </c>
      <c r="D37" s="9">
        <v>0</v>
      </c>
      <c r="E37" s="9">
        <v>0</v>
      </c>
      <c r="F37" s="7" t="s">
        <v>1187</v>
      </c>
    </row>
    <row r="38" spans="2:6" hidden="1" outlineLevel="1" x14ac:dyDescent="0.25">
      <c r="B38" s="7" t="s">
        <v>316</v>
      </c>
      <c r="C38" s="7" t="s">
        <v>317</v>
      </c>
      <c r="D38" s="9">
        <v>1</v>
      </c>
      <c r="E38" s="9">
        <v>1</v>
      </c>
      <c r="F38" s="7" t="s">
        <v>1187</v>
      </c>
    </row>
    <row r="39" spans="2:6" hidden="1" outlineLevel="1" x14ac:dyDescent="0.25">
      <c r="B39" s="7" t="s">
        <v>318</v>
      </c>
      <c r="C39" s="7" t="s">
        <v>319</v>
      </c>
      <c r="D39" s="9">
        <v>0</v>
      </c>
      <c r="E39" s="9">
        <v>0</v>
      </c>
      <c r="F39" s="7" t="s">
        <v>1187</v>
      </c>
    </row>
    <row r="40" spans="2:6" hidden="1" outlineLevel="1" x14ac:dyDescent="0.25">
      <c r="B40" s="7" t="s">
        <v>320</v>
      </c>
      <c r="C40" s="7" t="s">
        <v>321</v>
      </c>
      <c r="D40" s="9">
        <v>0</v>
      </c>
      <c r="E40" s="9">
        <v>0</v>
      </c>
      <c r="F40" s="7" t="s">
        <v>1187</v>
      </c>
    </row>
    <row r="41" spans="2:6" hidden="1" outlineLevel="1" x14ac:dyDescent="0.25">
      <c r="B41" s="7" t="s">
        <v>322</v>
      </c>
      <c r="C41" s="7" t="s">
        <v>323</v>
      </c>
      <c r="D41" s="9">
        <v>0</v>
      </c>
      <c r="E41" s="9">
        <v>0</v>
      </c>
      <c r="F41" s="7" t="s">
        <v>1187</v>
      </c>
    </row>
    <row r="42" spans="2:6" hidden="1" outlineLevel="1" x14ac:dyDescent="0.25">
      <c r="B42" s="7" t="s">
        <v>324</v>
      </c>
      <c r="C42" s="7" t="s">
        <v>325</v>
      </c>
      <c r="D42" s="9">
        <v>0</v>
      </c>
      <c r="E42" s="9">
        <v>0</v>
      </c>
      <c r="F42" s="7" t="s">
        <v>1187</v>
      </c>
    </row>
    <row r="43" spans="2:6" hidden="1" outlineLevel="1" x14ac:dyDescent="0.25">
      <c r="B43" s="7" t="s">
        <v>326</v>
      </c>
      <c r="C43" s="7" t="s">
        <v>327</v>
      </c>
      <c r="D43" s="9">
        <v>0</v>
      </c>
      <c r="E43" s="9">
        <v>0</v>
      </c>
      <c r="F43" s="7" t="s">
        <v>1187</v>
      </c>
    </row>
    <row r="44" spans="2:6" hidden="1" outlineLevel="1" x14ac:dyDescent="0.25">
      <c r="B44" s="7" t="s">
        <v>328</v>
      </c>
      <c r="C44" s="7" t="s">
        <v>329</v>
      </c>
      <c r="D44" s="9">
        <v>0</v>
      </c>
      <c r="E44" s="9">
        <v>0</v>
      </c>
      <c r="F44" s="7" t="s">
        <v>1187</v>
      </c>
    </row>
    <row r="45" spans="2:6" hidden="1" outlineLevel="1" x14ac:dyDescent="0.25">
      <c r="B45" s="7" t="s">
        <v>330</v>
      </c>
      <c r="C45" s="7" t="s">
        <v>331</v>
      </c>
      <c r="D45" s="9">
        <v>0</v>
      </c>
      <c r="E45" s="9">
        <v>0</v>
      </c>
      <c r="F45" s="7" t="s">
        <v>1187</v>
      </c>
    </row>
    <row r="46" spans="2:6" hidden="1" outlineLevel="1" x14ac:dyDescent="0.25">
      <c r="B46" s="7" t="s">
        <v>332</v>
      </c>
      <c r="C46" s="7" t="s">
        <v>333</v>
      </c>
      <c r="D46" s="9">
        <v>0</v>
      </c>
      <c r="E46" s="9">
        <v>0</v>
      </c>
      <c r="F46" s="7" t="s">
        <v>1187</v>
      </c>
    </row>
    <row r="47" spans="2:6" hidden="1" outlineLevel="1" x14ac:dyDescent="0.25">
      <c r="B47" s="7" t="s">
        <v>334</v>
      </c>
      <c r="C47" s="7" t="s">
        <v>335</v>
      </c>
      <c r="D47" s="9">
        <v>0</v>
      </c>
      <c r="E47" s="9">
        <v>0</v>
      </c>
      <c r="F47" s="7" t="s">
        <v>1187</v>
      </c>
    </row>
    <row r="48" spans="2:6" hidden="1" outlineLevel="1" x14ac:dyDescent="0.25">
      <c r="B48" s="7" t="s">
        <v>336</v>
      </c>
      <c r="C48" s="7" t="s">
        <v>337</v>
      </c>
      <c r="D48" s="9">
        <v>0</v>
      </c>
      <c r="E48" s="9">
        <v>0</v>
      </c>
      <c r="F48" s="7" t="s">
        <v>1187</v>
      </c>
    </row>
    <row r="49" spans="2:6" hidden="1" outlineLevel="1" x14ac:dyDescent="0.25">
      <c r="B49" s="7" t="s">
        <v>338</v>
      </c>
      <c r="C49" s="7" t="s">
        <v>339</v>
      </c>
      <c r="D49" s="9">
        <v>0</v>
      </c>
      <c r="E49" s="9">
        <v>0</v>
      </c>
      <c r="F49" s="7" t="s">
        <v>1187</v>
      </c>
    </row>
    <row r="50" spans="2:6" hidden="1" outlineLevel="1" x14ac:dyDescent="0.25">
      <c r="B50" s="7" t="s">
        <v>340</v>
      </c>
      <c r="C50" s="7" t="s">
        <v>341</v>
      </c>
      <c r="D50" s="9">
        <v>0</v>
      </c>
      <c r="E50" s="9">
        <v>0</v>
      </c>
      <c r="F50" s="7" t="s">
        <v>1187</v>
      </c>
    </row>
    <row r="51" spans="2:6" hidden="1" outlineLevel="1" x14ac:dyDescent="0.25">
      <c r="B51" s="7" t="s">
        <v>342</v>
      </c>
      <c r="C51" s="7" t="s">
        <v>343</v>
      </c>
      <c r="D51" s="9">
        <v>0</v>
      </c>
      <c r="E51" s="9">
        <v>0</v>
      </c>
      <c r="F51" s="7" t="s">
        <v>1187</v>
      </c>
    </row>
    <row r="52" spans="2:6" hidden="1" outlineLevel="1" x14ac:dyDescent="0.25">
      <c r="B52" s="7" t="s">
        <v>344</v>
      </c>
      <c r="C52" s="7" t="s">
        <v>345</v>
      </c>
      <c r="D52" s="9">
        <v>0</v>
      </c>
      <c r="E52" s="9">
        <v>0</v>
      </c>
      <c r="F52" s="7" t="s">
        <v>1187</v>
      </c>
    </row>
    <row r="53" spans="2:6" hidden="1" outlineLevel="1" x14ac:dyDescent="0.25">
      <c r="B53" s="7" t="s">
        <v>346</v>
      </c>
      <c r="C53" s="7" t="s">
        <v>347</v>
      </c>
      <c r="D53" s="9">
        <v>0</v>
      </c>
      <c r="E53" s="9">
        <v>0</v>
      </c>
      <c r="F53" s="7" t="s">
        <v>1187</v>
      </c>
    </row>
    <row r="54" spans="2:6" hidden="1" outlineLevel="1" x14ac:dyDescent="0.25">
      <c r="B54" s="7" t="s">
        <v>348</v>
      </c>
      <c r="C54" s="7" t="s">
        <v>349</v>
      </c>
      <c r="D54" s="9">
        <v>0</v>
      </c>
      <c r="E54" s="9">
        <v>0</v>
      </c>
      <c r="F54" s="7" t="s">
        <v>1187</v>
      </c>
    </row>
    <row r="55" spans="2:6" hidden="1" outlineLevel="1" x14ac:dyDescent="0.25">
      <c r="B55" s="7" t="s">
        <v>350</v>
      </c>
      <c r="C55" s="7" t="s">
        <v>351</v>
      </c>
      <c r="D55" s="9">
        <v>0</v>
      </c>
      <c r="E55" s="9">
        <v>0</v>
      </c>
      <c r="F55" s="7" t="s">
        <v>1187</v>
      </c>
    </row>
    <row r="56" spans="2:6" hidden="1" outlineLevel="1" x14ac:dyDescent="0.25">
      <c r="B56" s="7" t="s">
        <v>352</v>
      </c>
      <c r="C56" s="7" t="s">
        <v>353</v>
      </c>
      <c r="D56" s="9">
        <v>0</v>
      </c>
      <c r="E56" s="9">
        <v>0</v>
      </c>
      <c r="F56" s="7" t="s">
        <v>1187</v>
      </c>
    </row>
    <row r="57" spans="2:6" hidden="1" outlineLevel="1" x14ac:dyDescent="0.25">
      <c r="B57" s="7" t="s">
        <v>354</v>
      </c>
      <c r="C57" s="7" t="s">
        <v>355</v>
      </c>
      <c r="D57" s="9">
        <v>0</v>
      </c>
      <c r="E57" s="9">
        <v>0</v>
      </c>
      <c r="F57" s="7" t="s">
        <v>1187</v>
      </c>
    </row>
    <row r="58" spans="2:6" hidden="1" outlineLevel="1" x14ac:dyDescent="0.25">
      <c r="B58" s="7" t="s">
        <v>356</v>
      </c>
      <c r="C58" s="7" t="s">
        <v>357</v>
      </c>
      <c r="D58" s="9">
        <v>0</v>
      </c>
      <c r="E58" s="9">
        <v>0</v>
      </c>
      <c r="F58" s="7" t="s">
        <v>1187</v>
      </c>
    </row>
    <row r="59" spans="2:6" hidden="1" outlineLevel="1" x14ac:dyDescent="0.25">
      <c r="B59" s="7" t="s">
        <v>358</v>
      </c>
      <c r="C59" s="7" t="s">
        <v>359</v>
      </c>
      <c r="D59" s="9">
        <v>0</v>
      </c>
      <c r="E59" s="9">
        <v>0</v>
      </c>
      <c r="F59" s="7" t="s">
        <v>1187</v>
      </c>
    </row>
    <row r="60" spans="2:6" hidden="1" outlineLevel="1" x14ac:dyDescent="0.25">
      <c r="B60" s="7" t="s">
        <v>360</v>
      </c>
      <c r="C60" s="7" t="s">
        <v>361</v>
      </c>
      <c r="D60" s="9">
        <v>0</v>
      </c>
      <c r="E60" s="9">
        <v>0</v>
      </c>
      <c r="F60" s="7" t="s">
        <v>1187</v>
      </c>
    </row>
    <row r="61" spans="2:6" hidden="1" outlineLevel="1" x14ac:dyDescent="0.25">
      <c r="B61" s="7" t="s">
        <v>362</v>
      </c>
      <c r="C61" s="7" t="s">
        <v>363</v>
      </c>
      <c r="D61" s="9">
        <v>0</v>
      </c>
      <c r="E61" s="9">
        <v>0</v>
      </c>
      <c r="F61" s="7" t="s">
        <v>1187</v>
      </c>
    </row>
    <row r="62" spans="2:6" hidden="1" outlineLevel="1" x14ac:dyDescent="0.25">
      <c r="B62" s="7" t="s">
        <v>364</v>
      </c>
      <c r="C62" s="7" t="s">
        <v>365</v>
      </c>
      <c r="D62" s="9">
        <v>0</v>
      </c>
      <c r="E62" s="9">
        <v>0</v>
      </c>
      <c r="F62" s="7" t="s">
        <v>1187</v>
      </c>
    </row>
    <row r="63" spans="2:6" hidden="1" outlineLevel="1" x14ac:dyDescent="0.25">
      <c r="B63" s="7" t="s">
        <v>366</v>
      </c>
      <c r="C63" s="7" t="s">
        <v>367</v>
      </c>
      <c r="D63" s="9">
        <v>0</v>
      </c>
      <c r="E63" s="9">
        <v>0</v>
      </c>
      <c r="F63" s="7" t="s">
        <v>1187</v>
      </c>
    </row>
    <row r="64" spans="2:6" hidden="1" outlineLevel="1" x14ac:dyDescent="0.25">
      <c r="B64" s="7" t="s">
        <v>368</v>
      </c>
      <c r="C64" s="7" t="s">
        <v>369</v>
      </c>
      <c r="D64" s="9">
        <v>0</v>
      </c>
      <c r="E64" s="9">
        <v>0</v>
      </c>
      <c r="F64" s="7" t="s">
        <v>1187</v>
      </c>
    </row>
    <row r="65" spans="2:6" hidden="1" outlineLevel="1" x14ac:dyDescent="0.25">
      <c r="B65" s="7" t="s">
        <v>370</v>
      </c>
      <c r="C65" s="7" t="s">
        <v>371</v>
      </c>
      <c r="D65" s="9">
        <v>0</v>
      </c>
      <c r="E65" s="9">
        <v>0</v>
      </c>
      <c r="F65" s="7" t="s">
        <v>1187</v>
      </c>
    </row>
    <row r="66" spans="2:6" hidden="1" outlineLevel="1" x14ac:dyDescent="0.25">
      <c r="B66" s="7" t="s">
        <v>372</v>
      </c>
      <c r="C66" s="7" t="s">
        <v>373</v>
      </c>
      <c r="D66" s="9">
        <v>0</v>
      </c>
      <c r="E66" s="9">
        <v>0</v>
      </c>
      <c r="F66" s="7" t="s">
        <v>1187</v>
      </c>
    </row>
    <row r="67" spans="2:6" hidden="1" outlineLevel="1" x14ac:dyDescent="0.25">
      <c r="B67" s="7" t="s">
        <v>374</v>
      </c>
      <c r="C67" s="7" t="s">
        <v>375</v>
      </c>
      <c r="D67" s="9">
        <v>0</v>
      </c>
      <c r="E67" s="9">
        <v>0</v>
      </c>
      <c r="F67" s="7" t="s">
        <v>1187</v>
      </c>
    </row>
    <row r="68" spans="2:6" hidden="1" outlineLevel="1" x14ac:dyDescent="0.25">
      <c r="B68" s="7" t="s">
        <v>376</v>
      </c>
      <c r="C68" s="7" t="s">
        <v>377</v>
      </c>
      <c r="D68" s="9">
        <v>0</v>
      </c>
      <c r="E68" s="9">
        <v>0</v>
      </c>
      <c r="F68" s="7" t="s">
        <v>1187</v>
      </c>
    </row>
    <row r="69" spans="2:6" hidden="1" outlineLevel="1" x14ac:dyDescent="0.25">
      <c r="B69" s="7" t="s">
        <v>378</v>
      </c>
      <c r="C69" s="7" t="s">
        <v>379</v>
      </c>
      <c r="D69" s="9">
        <v>0</v>
      </c>
      <c r="E69" s="9">
        <v>0</v>
      </c>
      <c r="F69" s="7" t="s">
        <v>1187</v>
      </c>
    </row>
    <row r="70" spans="2:6" hidden="1" outlineLevel="1" x14ac:dyDescent="0.25">
      <c r="B70" s="7" t="s">
        <v>380</v>
      </c>
      <c r="C70" s="7" t="s">
        <v>381</v>
      </c>
      <c r="D70" s="9">
        <v>0</v>
      </c>
      <c r="E70" s="9">
        <v>0</v>
      </c>
      <c r="F70" s="7" t="s">
        <v>1187</v>
      </c>
    </row>
    <row r="71" spans="2:6" hidden="1" outlineLevel="1" x14ac:dyDescent="0.25">
      <c r="B71" s="7" t="s">
        <v>382</v>
      </c>
      <c r="C71" s="7" t="s">
        <v>383</v>
      </c>
      <c r="D71" s="9">
        <v>0</v>
      </c>
      <c r="E71" s="9">
        <v>0</v>
      </c>
      <c r="F71" s="7" t="s">
        <v>1187</v>
      </c>
    </row>
    <row r="72" spans="2:6" hidden="1" outlineLevel="1" x14ac:dyDescent="0.25">
      <c r="B72" s="7" t="s">
        <v>384</v>
      </c>
      <c r="C72" s="7" t="s">
        <v>385</v>
      </c>
      <c r="D72" s="9">
        <v>0</v>
      </c>
      <c r="E72" s="9">
        <v>0</v>
      </c>
      <c r="F72" s="7" t="s">
        <v>1187</v>
      </c>
    </row>
    <row r="73" spans="2:6" hidden="1" outlineLevel="1" x14ac:dyDescent="0.25">
      <c r="B73" s="7" t="s">
        <v>386</v>
      </c>
      <c r="C73" s="7" t="s">
        <v>387</v>
      </c>
      <c r="D73" s="9">
        <v>0</v>
      </c>
      <c r="E73" s="9">
        <v>0</v>
      </c>
      <c r="F73" s="7" t="s">
        <v>1187</v>
      </c>
    </row>
    <row r="74" spans="2:6" hidden="1" outlineLevel="1" x14ac:dyDescent="0.25">
      <c r="B74" s="7" t="s">
        <v>388</v>
      </c>
      <c r="C74" s="7" t="s">
        <v>389</v>
      </c>
      <c r="D74" s="9">
        <v>0</v>
      </c>
      <c r="E74" s="9">
        <v>0</v>
      </c>
      <c r="F74" s="7" t="s">
        <v>1187</v>
      </c>
    </row>
    <row r="75" spans="2:6" hidden="1" outlineLevel="1" x14ac:dyDescent="0.25">
      <c r="B75" s="7" t="s">
        <v>390</v>
      </c>
      <c r="C75" s="7" t="s">
        <v>391</v>
      </c>
      <c r="D75" s="9">
        <v>0</v>
      </c>
      <c r="E75" s="9">
        <v>0</v>
      </c>
      <c r="F75" s="7" t="s">
        <v>1187</v>
      </c>
    </row>
    <row r="76" spans="2:6" hidden="1" outlineLevel="1" x14ac:dyDescent="0.25">
      <c r="B76" s="7" t="s">
        <v>392</v>
      </c>
      <c r="C76" s="7" t="s">
        <v>393</v>
      </c>
      <c r="D76" s="9">
        <v>0</v>
      </c>
      <c r="E76" s="9">
        <v>0</v>
      </c>
      <c r="F76" s="7" t="s">
        <v>1187</v>
      </c>
    </row>
    <row r="77" spans="2:6" hidden="1" outlineLevel="1" x14ac:dyDescent="0.25">
      <c r="B77" s="7" t="s">
        <v>394</v>
      </c>
      <c r="C77" s="7" t="s">
        <v>395</v>
      </c>
      <c r="D77" s="9">
        <v>0</v>
      </c>
      <c r="E77" s="9">
        <v>0</v>
      </c>
      <c r="F77" s="7" t="s">
        <v>1187</v>
      </c>
    </row>
    <row r="78" spans="2:6" hidden="1" outlineLevel="1" x14ac:dyDescent="0.25">
      <c r="B78" s="7" t="s">
        <v>396</v>
      </c>
      <c r="C78" s="7" t="s">
        <v>397</v>
      </c>
      <c r="D78" s="9">
        <v>0</v>
      </c>
      <c r="E78" s="9">
        <v>0</v>
      </c>
      <c r="F78" s="7" t="s">
        <v>1187</v>
      </c>
    </row>
    <row r="79" spans="2:6" hidden="1" outlineLevel="1" x14ac:dyDescent="0.25">
      <c r="B79" s="7" t="s">
        <v>398</v>
      </c>
      <c r="C79" s="7" t="s">
        <v>399</v>
      </c>
      <c r="D79" s="9">
        <v>0</v>
      </c>
      <c r="E79" s="9">
        <v>0</v>
      </c>
      <c r="F79" s="7" t="s">
        <v>1187</v>
      </c>
    </row>
    <row r="80" spans="2:6" hidden="1" outlineLevel="1" x14ac:dyDescent="0.25">
      <c r="B80" s="7" t="s">
        <v>400</v>
      </c>
      <c r="C80" s="7" t="s">
        <v>401</v>
      </c>
      <c r="D80" s="9">
        <v>0</v>
      </c>
      <c r="E80" s="9">
        <v>0</v>
      </c>
      <c r="F80" s="7" t="s">
        <v>1187</v>
      </c>
    </row>
    <row r="81" spans="2:6" hidden="1" outlineLevel="1" x14ac:dyDescent="0.25">
      <c r="B81" s="7" t="s">
        <v>402</v>
      </c>
      <c r="C81" s="7" t="s">
        <v>403</v>
      </c>
      <c r="D81" s="9">
        <v>0</v>
      </c>
      <c r="E81" s="9">
        <v>0</v>
      </c>
      <c r="F81" s="7" t="s">
        <v>1187</v>
      </c>
    </row>
    <row r="82" spans="2:6" hidden="1" outlineLevel="1" x14ac:dyDescent="0.25">
      <c r="B82" s="7" t="s">
        <v>404</v>
      </c>
      <c r="C82" s="7" t="s">
        <v>405</v>
      </c>
      <c r="D82" s="9">
        <v>1</v>
      </c>
      <c r="E82" s="9">
        <v>1</v>
      </c>
      <c r="F82" s="7" t="s">
        <v>1187</v>
      </c>
    </row>
    <row r="83" spans="2:6" hidden="1" outlineLevel="1" x14ac:dyDescent="0.25">
      <c r="B83" s="7" t="s">
        <v>406</v>
      </c>
      <c r="C83" s="7" t="s">
        <v>407</v>
      </c>
      <c r="D83" s="9">
        <v>0</v>
      </c>
      <c r="E83" s="9">
        <v>0</v>
      </c>
      <c r="F83" s="7" t="s">
        <v>1187</v>
      </c>
    </row>
    <row r="84" spans="2:6" hidden="1" outlineLevel="1" x14ac:dyDescent="0.25">
      <c r="B84" s="7" t="s">
        <v>408</v>
      </c>
      <c r="C84" s="7" t="s">
        <v>409</v>
      </c>
      <c r="D84" s="9">
        <v>0</v>
      </c>
      <c r="E84" s="9">
        <v>0</v>
      </c>
      <c r="F84" s="7" t="s">
        <v>1187</v>
      </c>
    </row>
    <row r="85" spans="2:6" hidden="1" outlineLevel="1" x14ac:dyDescent="0.25">
      <c r="B85" s="7" t="s">
        <v>410</v>
      </c>
      <c r="C85" s="7" t="s">
        <v>411</v>
      </c>
      <c r="D85" s="9">
        <v>0</v>
      </c>
      <c r="E85" s="9">
        <v>0</v>
      </c>
      <c r="F85" s="7" t="s">
        <v>1187</v>
      </c>
    </row>
    <row r="86" spans="2:6" hidden="1" outlineLevel="1" x14ac:dyDescent="0.25">
      <c r="B86" s="7" t="s">
        <v>412</v>
      </c>
      <c r="C86" s="7" t="s">
        <v>413</v>
      </c>
      <c r="D86" s="9">
        <v>0</v>
      </c>
      <c r="E86" s="9">
        <v>0</v>
      </c>
      <c r="F86" s="7" t="s">
        <v>1187</v>
      </c>
    </row>
    <row r="87" spans="2:6" hidden="1" outlineLevel="1" x14ac:dyDescent="0.25">
      <c r="B87" s="7" t="s">
        <v>414</v>
      </c>
      <c r="C87" s="7" t="s">
        <v>415</v>
      </c>
      <c r="D87" s="9">
        <v>0</v>
      </c>
      <c r="E87" s="9">
        <v>0</v>
      </c>
      <c r="F87" s="7" t="s">
        <v>1187</v>
      </c>
    </row>
    <row r="88" spans="2:6" hidden="1" outlineLevel="1" x14ac:dyDescent="0.25">
      <c r="B88" s="7" t="s">
        <v>416</v>
      </c>
      <c r="C88" s="7" t="s">
        <v>417</v>
      </c>
      <c r="D88" s="9">
        <v>0</v>
      </c>
      <c r="E88" s="9">
        <v>0</v>
      </c>
      <c r="F88" s="7" t="s">
        <v>1187</v>
      </c>
    </row>
    <row r="89" spans="2:6" hidden="1" outlineLevel="1" x14ac:dyDescent="0.25">
      <c r="B89" s="7" t="s">
        <v>418</v>
      </c>
      <c r="C89" s="7" t="s">
        <v>419</v>
      </c>
      <c r="D89" s="9">
        <v>0</v>
      </c>
      <c r="E89" s="9">
        <v>0</v>
      </c>
      <c r="F89" s="7" t="s">
        <v>1187</v>
      </c>
    </row>
    <row r="90" spans="2:6" hidden="1" outlineLevel="1" x14ac:dyDescent="0.25">
      <c r="B90" s="7" t="s">
        <v>420</v>
      </c>
      <c r="C90" s="7" t="s">
        <v>421</v>
      </c>
      <c r="D90" s="9">
        <v>0</v>
      </c>
      <c r="E90" s="9">
        <v>0</v>
      </c>
      <c r="F90" s="7" t="s">
        <v>1187</v>
      </c>
    </row>
    <row r="91" spans="2:6" hidden="1" outlineLevel="1" x14ac:dyDescent="0.25">
      <c r="B91" s="7" t="s">
        <v>422</v>
      </c>
      <c r="C91" s="7" t="s">
        <v>423</v>
      </c>
      <c r="D91" s="9">
        <v>1</v>
      </c>
      <c r="E91" s="9">
        <v>1</v>
      </c>
      <c r="F91" s="7" t="s">
        <v>1187</v>
      </c>
    </row>
    <row r="92" spans="2:6" hidden="1" outlineLevel="1" x14ac:dyDescent="0.25">
      <c r="B92" s="7" t="s">
        <v>424</v>
      </c>
      <c r="C92" s="7" t="s">
        <v>425</v>
      </c>
      <c r="D92" s="9">
        <v>0</v>
      </c>
      <c r="E92" s="9">
        <v>0</v>
      </c>
      <c r="F92" s="7" t="s">
        <v>1187</v>
      </c>
    </row>
    <row r="93" spans="2:6" hidden="1" outlineLevel="1" x14ac:dyDescent="0.25">
      <c r="B93" s="7" t="s">
        <v>426</v>
      </c>
      <c r="C93" s="7" t="s">
        <v>427</v>
      </c>
      <c r="D93" s="9">
        <v>0</v>
      </c>
      <c r="E93" s="9">
        <v>0</v>
      </c>
      <c r="F93" s="7" t="s">
        <v>1187</v>
      </c>
    </row>
    <row r="94" spans="2:6" hidden="1" outlineLevel="1" x14ac:dyDescent="0.25">
      <c r="B94" s="7" t="s">
        <v>428</v>
      </c>
      <c r="C94" s="7" t="s">
        <v>429</v>
      </c>
      <c r="D94" s="9">
        <v>0</v>
      </c>
      <c r="E94" s="9">
        <v>0</v>
      </c>
      <c r="F94" s="7" t="s">
        <v>1187</v>
      </c>
    </row>
    <row r="95" spans="2:6" hidden="1" outlineLevel="1" x14ac:dyDescent="0.25">
      <c r="B95" s="7" t="s">
        <v>430</v>
      </c>
      <c r="C95" s="7" t="s">
        <v>431</v>
      </c>
      <c r="D95" s="9">
        <v>0</v>
      </c>
      <c r="E95" s="9">
        <v>0</v>
      </c>
      <c r="F95" s="7" t="s">
        <v>1187</v>
      </c>
    </row>
    <row r="96" spans="2:6" hidden="1" outlineLevel="1" x14ac:dyDescent="0.25">
      <c r="B96" s="7" t="s">
        <v>432</v>
      </c>
      <c r="C96" s="7" t="s">
        <v>433</v>
      </c>
      <c r="D96" s="9">
        <v>0</v>
      </c>
      <c r="E96" s="9">
        <v>0</v>
      </c>
      <c r="F96" s="7" t="s">
        <v>1187</v>
      </c>
    </row>
    <row r="97" spans="2:6" hidden="1" outlineLevel="1" x14ac:dyDescent="0.25">
      <c r="B97" s="7" t="s">
        <v>434</v>
      </c>
      <c r="C97" s="7" t="s">
        <v>435</v>
      </c>
      <c r="D97" s="9">
        <v>0</v>
      </c>
      <c r="E97" s="9">
        <v>0</v>
      </c>
      <c r="F97" s="7" t="s">
        <v>1187</v>
      </c>
    </row>
    <row r="98" spans="2:6" hidden="1" outlineLevel="1" x14ac:dyDescent="0.25">
      <c r="B98" s="7" t="s">
        <v>436</v>
      </c>
      <c r="C98" s="7" t="s">
        <v>437</v>
      </c>
      <c r="D98" s="9">
        <v>0</v>
      </c>
      <c r="E98" s="9">
        <v>0</v>
      </c>
      <c r="F98" s="7" t="s">
        <v>1187</v>
      </c>
    </row>
    <row r="99" spans="2:6" hidden="1" outlineLevel="1" x14ac:dyDescent="0.25">
      <c r="B99" s="7" t="s">
        <v>438</v>
      </c>
      <c r="C99" s="7" t="s">
        <v>439</v>
      </c>
      <c r="D99" s="9">
        <v>0</v>
      </c>
      <c r="E99" s="9">
        <v>0</v>
      </c>
      <c r="F99" s="7" t="s">
        <v>1187</v>
      </c>
    </row>
    <row r="100" spans="2:6" hidden="1" outlineLevel="1" x14ac:dyDescent="0.25">
      <c r="B100" s="7" t="s">
        <v>440</v>
      </c>
      <c r="C100" s="7" t="s">
        <v>441</v>
      </c>
      <c r="D100" s="9">
        <v>0</v>
      </c>
      <c r="E100" s="9">
        <v>0</v>
      </c>
      <c r="F100" s="7" t="s">
        <v>1187</v>
      </c>
    </row>
    <row r="101" spans="2:6" hidden="1" outlineLevel="1" x14ac:dyDescent="0.25">
      <c r="B101" s="7" t="s">
        <v>442</v>
      </c>
      <c r="C101" s="7" t="s">
        <v>443</v>
      </c>
      <c r="D101" s="9">
        <v>0</v>
      </c>
      <c r="E101" s="9">
        <v>0</v>
      </c>
      <c r="F101" s="7" t="s">
        <v>1187</v>
      </c>
    </row>
    <row r="102" spans="2:6" hidden="1" outlineLevel="1" x14ac:dyDescent="0.25">
      <c r="B102" s="7" t="s">
        <v>444</v>
      </c>
      <c r="C102" s="7" t="s">
        <v>445</v>
      </c>
      <c r="D102" s="9">
        <v>0</v>
      </c>
      <c r="E102" s="9">
        <v>0</v>
      </c>
      <c r="F102" s="7" t="s">
        <v>1187</v>
      </c>
    </row>
    <row r="103" spans="2:6" hidden="1" outlineLevel="1" x14ac:dyDescent="0.25">
      <c r="B103" s="7" t="s">
        <v>446</v>
      </c>
      <c r="C103" s="7" t="s">
        <v>447</v>
      </c>
      <c r="D103" s="9">
        <v>0</v>
      </c>
      <c r="E103" s="9">
        <v>0</v>
      </c>
      <c r="F103" s="7" t="s">
        <v>1187</v>
      </c>
    </row>
    <row r="104" spans="2:6" hidden="1" outlineLevel="1" x14ac:dyDescent="0.25">
      <c r="B104" s="7" t="s">
        <v>448</v>
      </c>
      <c r="C104" s="7" t="s">
        <v>449</v>
      </c>
      <c r="D104" s="9">
        <v>0</v>
      </c>
      <c r="E104" s="9">
        <v>0</v>
      </c>
      <c r="F104" s="7" t="s">
        <v>1187</v>
      </c>
    </row>
    <row r="105" spans="2:6" hidden="1" outlineLevel="1" x14ac:dyDescent="0.25">
      <c r="B105" s="7" t="s">
        <v>450</v>
      </c>
      <c r="C105" s="7" t="s">
        <v>451</v>
      </c>
      <c r="D105" s="9">
        <v>0</v>
      </c>
      <c r="E105" s="9">
        <v>0</v>
      </c>
      <c r="F105" s="7" t="s">
        <v>1187</v>
      </c>
    </row>
    <row r="106" spans="2:6" hidden="1" outlineLevel="1" x14ac:dyDescent="0.25">
      <c r="B106" s="7" t="s">
        <v>452</v>
      </c>
      <c r="C106" s="7" t="s">
        <v>453</v>
      </c>
      <c r="D106" s="9">
        <v>0</v>
      </c>
      <c r="E106" s="9">
        <v>0</v>
      </c>
      <c r="F106" s="7" t="s">
        <v>1187</v>
      </c>
    </row>
    <row r="107" spans="2:6" hidden="1" outlineLevel="1" x14ac:dyDescent="0.25">
      <c r="B107" s="7" t="s">
        <v>454</v>
      </c>
      <c r="C107" s="7" t="s">
        <v>455</v>
      </c>
      <c r="D107" s="9">
        <v>0</v>
      </c>
      <c r="E107" s="9">
        <v>0</v>
      </c>
      <c r="F107" s="7" t="s">
        <v>1187</v>
      </c>
    </row>
    <row r="108" spans="2:6" hidden="1" outlineLevel="1" x14ac:dyDescent="0.25">
      <c r="B108" s="7" t="s">
        <v>456</v>
      </c>
      <c r="C108" s="7" t="s">
        <v>457</v>
      </c>
      <c r="D108" s="9">
        <v>0</v>
      </c>
      <c r="E108" s="9">
        <v>0</v>
      </c>
      <c r="F108" s="7" t="s">
        <v>1187</v>
      </c>
    </row>
    <row r="109" spans="2:6" hidden="1" outlineLevel="1" x14ac:dyDescent="0.25">
      <c r="B109" s="7" t="s">
        <v>458</v>
      </c>
      <c r="C109" s="7" t="s">
        <v>459</v>
      </c>
      <c r="D109" s="9">
        <v>0</v>
      </c>
      <c r="E109" s="9">
        <v>0</v>
      </c>
      <c r="F109" s="7" t="s">
        <v>1187</v>
      </c>
    </row>
    <row r="110" spans="2:6" hidden="1" outlineLevel="1" x14ac:dyDescent="0.25">
      <c r="B110" s="7" t="s">
        <v>460</v>
      </c>
      <c r="C110" s="7" t="s">
        <v>461</v>
      </c>
      <c r="D110" s="9">
        <v>0</v>
      </c>
      <c r="E110" s="9">
        <v>0</v>
      </c>
      <c r="F110" s="7" t="s">
        <v>1187</v>
      </c>
    </row>
    <row r="111" spans="2:6" hidden="1" outlineLevel="1" x14ac:dyDescent="0.25">
      <c r="B111" s="7" t="s">
        <v>462</v>
      </c>
      <c r="C111" s="7" t="s">
        <v>463</v>
      </c>
      <c r="D111" s="9">
        <v>0</v>
      </c>
      <c r="E111" s="9">
        <v>0</v>
      </c>
      <c r="F111" s="7" t="s">
        <v>1187</v>
      </c>
    </row>
    <row r="112" spans="2:6" hidden="1" outlineLevel="1" x14ac:dyDescent="0.25">
      <c r="B112" s="7" t="s">
        <v>464</v>
      </c>
      <c r="C112" s="7" t="s">
        <v>465</v>
      </c>
      <c r="D112" s="9">
        <v>0</v>
      </c>
      <c r="E112" s="9">
        <v>0</v>
      </c>
      <c r="F112" s="7" t="s">
        <v>1187</v>
      </c>
    </row>
    <row r="113" spans="2:6" hidden="1" outlineLevel="1" x14ac:dyDescent="0.25">
      <c r="B113" s="7" t="s">
        <v>466</v>
      </c>
      <c r="C113" s="7" t="s">
        <v>467</v>
      </c>
      <c r="D113" s="9">
        <v>0</v>
      </c>
      <c r="E113" s="9">
        <v>0</v>
      </c>
      <c r="F113" s="7" t="s">
        <v>1187</v>
      </c>
    </row>
    <row r="114" spans="2:6" hidden="1" outlineLevel="1" x14ac:dyDescent="0.25">
      <c r="B114" s="7" t="s">
        <v>468</v>
      </c>
      <c r="C114" s="7" t="s">
        <v>469</v>
      </c>
      <c r="D114" s="9">
        <v>0</v>
      </c>
      <c r="E114" s="9">
        <v>0</v>
      </c>
      <c r="F114" s="7" t="s">
        <v>1187</v>
      </c>
    </row>
    <row r="115" spans="2:6" hidden="1" outlineLevel="1" x14ac:dyDescent="0.25">
      <c r="B115" s="7" t="s">
        <v>470</v>
      </c>
      <c r="C115" s="7" t="s">
        <v>471</v>
      </c>
      <c r="D115" s="9">
        <v>0</v>
      </c>
      <c r="E115" s="9">
        <v>0</v>
      </c>
      <c r="F115" s="7" t="s">
        <v>1187</v>
      </c>
    </row>
    <row r="116" spans="2:6" hidden="1" outlineLevel="1" x14ac:dyDescent="0.25">
      <c r="B116" s="7" t="s">
        <v>472</v>
      </c>
      <c r="C116" s="7" t="s">
        <v>473</v>
      </c>
      <c r="D116" s="9">
        <v>0</v>
      </c>
      <c r="E116" s="9">
        <v>0</v>
      </c>
      <c r="F116" s="7" t="s">
        <v>1187</v>
      </c>
    </row>
    <row r="117" spans="2:6" hidden="1" outlineLevel="1" x14ac:dyDescent="0.25">
      <c r="B117" s="7" t="s">
        <v>474</v>
      </c>
      <c r="C117" s="7" t="s">
        <v>475</v>
      </c>
      <c r="D117" s="9">
        <v>0</v>
      </c>
      <c r="E117" s="9">
        <v>0</v>
      </c>
      <c r="F117" s="7" t="s">
        <v>1187</v>
      </c>
    </row>
    <row r="118" spans="2:6" hidden="1" outlineLevel="1" x14ac:dyDescent="0.25">
      <c r="B118" s="7" t="s">
        <v>476</v>
      </c>
      <c r="C118" s="7" t="s">
        <v>477</v>
      </c>
      <c r="D118" s="9">
        <v>0</v>
      </c>
      <c r="E118" s="9">
        <v>0</v>
      </c>
      <c r="F118" s="7" t="s">
        <v>1187</v>
      </c>
    </row>
    <row r="119" spans="2:6" hidden="1" outlineLevel="1" x14ac:dyDescent="0.25">
      <c r="B119" s="7" t="s">
        <v>478</v>
      </c>
      <c r="C119" s="7" t="s">
        <v>479</v>
      </c>
      <c r="D119" s="9">
        <v>0</v>
      </c>
      <c r="E119" s="9">
        <v>0</v>
      </c>
      <c r="F119" s="7" t="s">
        <v>1187</v>
      </c>
    </row>
    <row r="120" spans="2:6" hidden="1" outlineLevel="1" x14ac:dyDescent="0.25">
      <c r="B120" s="7" t="s">
        <v>480</v>
      </c>
      <c r="C120" s="7" t="s">
        <v>481</v>
      </c>
      <c r="D120" s="9">
        <v>0</v>
      </c>
      <c r="E120" s="9">
        <v>0</v>
      </c>
      <c r="F120" s="7" t="s">
        <v>1187</v>
      </c>
    </row>
    <row r="121" spans="2:6" hidden="1" outlineLevel="1" x14ac:dyDescent="0.25">
      <c r="B121" s="7" t="s">
        <v>482</v>
      </c>
      <c r="C121" s="7" t="s">
        <v>483</v>
      </c>
      <c r="D121" s="9">
        <v>0</v>
      </c>
      <c r="E121" s="9">
        <v>0</v>
      </c>
      <c r="F121" s="7" t="s">
        <v>1187</v>
      </c>
    </row>
    <row r="122" spans="2:6" hidden="1" outlineLevel="1" x14ac:dyDescent="0.25">
      <c r="B122" s="7" t="s">
        <v>484</v>
      </c>
      <c r="C122" s="7" t="s">
        <v>485</v>
      </c>
      <c r="D122" s="9">
        <v>0</v>
      </c>
      <c r="E122" s="9">
        <v>0</v>
      </c>
      <c r="F122" s="7" t="s">
        <v>1187</v>
      </c>
    </row>
    <row r="123" spans="2:6" hidden="1" outlineLevel="1" x14ac:dyDescent="0.25">
      <c r="B123" s="7" t="s">
        <v>486</v>
      </c>
      <c r="C123" s="7" t="s">
        <v>487</v>
      </c>
      <c r="D123" s="9">
        <v>0</v>
      </c>
      <c r="E123" s="9">
        <v>0</v>
      </c>
      <c r="F123" s="7" t="s">
        <v>1187</v>
      </c>
    </row>
    <row r="124" spans="2:6" hidden="1" outlineLevel="1" x14ac:dyDescent="0.25">
      <c r="B124" s="7" t="s">
        <v>488</v>
      </c>
      <c r="C124" s="7" t="s">
        <v>489</v>
      </c>
      <c r="D124" s="9">
        <v>0</v>
      </c>
      <c r="E124" s="9">
        <v>0</v>
      </c>
      <c r="F124" s="7" t="s">
        <v>1187</v>
      </c>
    </row>
    <row r="125" spans="2:6" hidden="1" outlineLevel="1" x14ac:dyDescent="0.25">
      <c r="B125" s="7" t="s">
        <v>490</v>
      </c>
      <c r="C125" s="7" t="s">
        <v>491</v>
      </c>
      <c r="D125" s="9">
        <v>0</v>
      </c>
      <c r="E125" s="9">
        <v>0</v>
      </c>
      <c r="F125" s="7" t="s">
        <v>1187</v>
      </c>
    </row>
    <row r="126" spans="2:6" hidden="1" outlineLevel="1" x14ac:dyDescent="0.25">
      <c r="B126" s="7" t="s">
        <v>492</v>
      </c>
      <c r="C126" s="7" t="s">
        <v>493</v>
      </c>
      <c r="D126" s="9">
        <v>0</v>
      </c>
      <c r="E126" s="9">
        <v>0</v>
      </c>
      <c r="F126" s="7" t="s">
        <v>1187</v>
      </c>
    </row>
    <row r="127" spans="2:6" hidden="1" outlineLevel="1" x14ac:dyDescent="0.25">
      <c r="B127" s="7" t="s">
        <v>494</v>
      </c>
      <c r="C127" s="7" t="s">
        <v>495</v>
      </c>
      <c r="D127" s="9">
        <v>0</v>
      </c>
      <c r="E127" s="9">
        <v>0</v>
      </c>
      <c r="F127" s="7" t="s">
        <v>1187</v>
      </c>
    </row>
    <row r="128" spans="2:6" hidden="1" outlineLevel="1" x14ac:dyDescent="0.25">
      <c r="B128" s="7" t="s">
        <v>496</v>
      </c>
      <c r="C128" s="7" t="s">
        <v>497</v>
      </c>
      <c r="D128" s="9">
        <v>0</v>
      </c>
      <c r="E128" s="9">
        <v>0</v>
      </c>
      <c r="F128" s="7" t="s">
        <v>1187</v>
      </c>
    </row>
    <row r="129" spans="2:6" hidden="1" outlineLevel="1" x14ac:dyDescent="0.25">
      <c r="B129" s="7" t="s">
        <v>498</v>
      </c>
      <c r="C129" s="7" t="s">
        <v>499</v>
      </c>
      <c r="D129" s="9">
        <v>0</v>
      </c>
      <c r="E129" s="9">
        <v>0</v>
      </c>
      <c r="F129" s="7" t="s">
        <v>1187</v>
      </c>
    </row>
    <row r="130" spans="2:6" hidden="1" outlineLevel="1" x14ac:dyDescent="0.25">
      <c r="B130" s="7" t="s">
        <v>500</v>
      </c>
      <c r="C130" s="7" t="s">
        <v>501</v>
      </c>
      <c r="D130" s="9">
        <v>0</v>
      </c>
      <c r="E130" s="9">
        <v>0</v>
      </c>
      <c r="F130" s="7" t="s">
        <v>1187</v>
      </c>
    </row>
    <row r="131" spans="2:6" hidden="1" outlineLevel="1" x14ac:dyDescent="0.25">
      <c r="B131" s="7" t="s">
        <v>502</v>
      </c>
      <c r="C131" s="7" t="s">
        <v>503</v>
      </c>
      <c r="D131" s="9">
        <v>0</v>
      </c>
      <c r="E131" s="9">
        <v>0</v>
      </c>
      <c r="F131" s="7" t="s">
        <v>1187</v>
      </c>
    </row>
    <row r="132" spans="2:6" hidden="1" outlineLevel="1" x14ac:dyDescent="0.25">
      <c r="B132" s="7" t="s">
        <v>504</v>
      </c>
      <c r="C132" s="7" t="s">
        <v>505</v>
      </c>
      <c r="D132" s="9">
        <v>0</v>
      </c>
      <c r="E132" s="9">
        <v>0</v>
      </c>
      <c r="F132" s="7" t="s">
        <v>1187</v>
      </c>
    </row>
    <row r="133" spans="2:6" hidden="1" outlineLevel="1" x14ac:dyDescent="0.25">
      <c r="B133" s="7" t="s">
        <v>506</v>
      </c>
      <c r="C133" s="7" t="s">
        <v>507</v>
      </c>
      <c r="D133" s="9">
        <v>0</v>
      </c>
      <c r="E133" s="9">
        <v>0</v>
      </c>
      <c r="F133" s="7" t="s">
        <v>1187</v>
      </c>
    </row>
    <row r="134" spans="2:6" hidden="1" outlineLevel="1" x14ac:dyDescent="0.25">
      <c r="B134" s="7" t="s">
        <v>508</v>
      </c>
      <c r="C134" s="7" t="s">
        <v>509</v>
      </c>
      <c r="D134" s="9">
        <v>0</v>
      </c>
      <c r="E134" s="9">
        <v>0</v>
      </c>
      <c r="F134" s="7" t="s">
        <v>1187</v>
      </c>
    </row>
    <row r="135" spans="2:6" hidden="1" outlineLevel="1" x14ac:dyDescent="0.25">
      <c r="B135" s="7" t="s">
        <v>510</v>
      </c>
      <c r="C135" s="7" t="s">
        <v>511</v>
      </c>
      <c r="D135" s="9">
        <v>1</v>
      </c>
      <c r="E135" s="9">
        <v>1</v>
      </c>
      <c r="F135" s="7" t="s">
        <v>1187</v>
      </c>
    </row>
    <row r="136" spans="2:6" hidden="1" outlineLevel="1" x14ac:dyDescent="0.25">
      <c r="B136" s="7" t="s">
        <v>512</v>
      </c>
      <c r="C136" s="7" t="s">
        <v>513</v>
      </c>
      <c r="D136" s="9">
        <v>0</v>
      </c>
      <c r="E136" s="9">
        <v>0</v>
      </c>
      <c r="F136" s="7" t="s">
        <v>1187</v>
      </c>
    </row>
    <row r="137" spans="2:6" hidden="1" outlineLevel="1" x14ac:dyDescent="0.25">
      <c r="B137" s="7" t="s">
        <v>514</v>
      </c>
      <c r="C137" s="7" t="s">
        <v>515</v>
      </c>
      <c r="D137" s="9">
        <v>0</v>
      </c>
      <c r="E137" s="9">
        <v>0</v>
      </c>
      <c r="F137" s="7" t="s">
        <v>1187</v>
      </c>
    </row>
    <row r="138" spans="2:6" hidden="1" outlineLevel="1" x14ac:dyDescent="0.25">
      <c r="B138" s="7" t="s">
        <v>516</v>
      </c>
      <c r="C138" s="7" t="s">
        <v>517</v>
      </c>
      <c r="D138" s="9">
        <v>0</v>
      </c>
      <c r="E138" s="9">
        <v>0</v>
      </c>
      <c r="F138" s="7" t="s">
        <v>1187</v>
      </c>
    </row>
    <row r="139" spans="2:6" hidden="1" outlineLevel="1" x14ac:dyDescent="0.25">
      <c r="B139" s="7" t="s">
        <v>518</v>
      </c>
      <c r="C139" s="7" t="s">
        <v>519</v>
      </c>
      <c r="D139" s="9">
        <v>1</v>
      </c>
      <c r="E139" s="9">
        <v>1</v>
      </c>
      <c r="F139" s="7" t="s">
        <v>1187</v>
      </c>
    </row>
    <row r="140" spans="2:6" hidden="1" outlineLevel="1" x14ac:dyDescent="0.25">
      <c r="B140" s="7" t="s">
        <v>520</v>
      </c>
      <c r="C140" s="7" t="s">
        <v>521</v>
      </c>
      <c r="D140" s="9">
        <v>0</v>
      </c>
      <c r="E140" s="9">
        <v>0</v>
      </c>
      <c r="F140" s="7" t="s">
        <v>1187</v>
      </c>
    </row>
    <row r="141" spans="2:6" hidden="1" outlineLevel="1" x14ac:dyDescent="0.25">
      <c r="B141" s="7" t="s">
        <v>522</v>
      </c>
      <c r="C141" s="7" t="s">
        <v>523</v>
      </c>
      <c r="D141" s="9">
        <v>0</v>
      </c>
      <c r="E141" s="9">
        <v>0</v>
      </c>
      <c r="F141" s="7" t="s">
        <v>1187</v>
      </c>
    </row>
    <row r="142" spans="2:6" hidden="1" outlineLevel="1" x14ac:dyDescent="0.25">
      <c r="B142" s="7" t="s">
        <v>524</v>
      </c>
      <c r="C142" s="7" t="s">
        <v>525</v>
      </c>
      <c r="D142" s="9">
        <v>0</v>
      </c>
      <c r="E142" s="9">
        <v>0</v>
      </c>
      <c r="F142" s="7" t="s">
        <v>1187</v>
      </c>
    </row>
    <row r="143" spans="2:6" hidden="1" outlineLevel="1" x14ac:dyDescent="0.25">
      <c r="B143" s="7" t="s">
        <v>526</v>
      </c>
      <c r="C143" s="7" t="s">
        <v>527</v>
      </c>
      <c r="D143" s="9">
        <v>0</v>
      </c>
      <c r="E143" s="9">
        <v>0</v>
      </c>
      <c r="F143" s="7" t="s">
        <v>1187</v>
      </c>
    </row>
    <row r="144" spans="2:6" hidden="1" outlineLevel="1" x14ac:dyDescent="0.25">
      <c r="B144" s="7" t="s">
        <v>528</v>
      </c>
      <c r="C144" s="7" t="s">
        <v>529</v>
      </c>
      <c r="D144" s="9">
        <v>0</v>
      </c>
      <c r="E144" s="9">
        <v>0</v>
      </c>
      <c r="F144" s="7" t="s">
        <v>1187</v>
      </c>
    </row>
    <row r="145" spans="2:6" hidden="1" outlineLevel="1" x14ac:dyDescent="0.25">
      <c r="B145" s="7" t="s">
        <v>530</v>
      </c>
      <c r="C145" s="7" t="s">
        <v>531</v>
      </c>
      <c r="D145" s="9">
        <v>0</v>
      </c>
      <c r="E145" s="9">
        <v>0</v>
      </c>
      <c r="F145" s="7" t="s">
        <v>1187</v>
      </c>
    </row>
    <row r="146" spans="2:6" hidden="1" outlineLevel="1" x14ac:dyDescent="0.25">
      <c r="B146" s="7" t="s">
        <v>532</v>
      </c>
      <c r="C146" s="7" t="s">
        <v>533</v>
      </c>
      <c r="D146" s="9">
        <v>0</v>
      </c>
      <c r="E146" s="9">
        <v>0</v>
      </c>
      <c r="F146" s="7" t="s">
        <v>1187</v>
      </c>
    </row>
    <row r="147" spans="2:6" hidden="1" outlineLevel="1" x14ac:dyDescent="0.25">
      <c r="B147" s="7" t="s">
        <v>534</v>
      </c>
      <c r="C147" s="7" t="s">
        <v>535</v>
      </c>
      <c r="D147" s="9">
        <v>0</v>
      </c>
      <c r="E147" s="9">
        <v>0</v>
      </c>
      <c r="F147" s="7" t="s">
        <v>1187</v>
      </c>
    </row>
    <row r="148" spans="2:6" hidden="1" outlineLevel="1" x14ac:dyDescent="0.25">
      <c r="B148" s="7" t="s">
        <v>536</v>
      </c>
      <c r="C148" s="7" t="s">
        <v>537</v>
      </c>
      <c r="D148" s="9">
        <v>0</v>
      </c>
      <c r="E148" s="9">
        <v>0</v>
      </c>
      <c r="F148" s="7" t="s">
        <v>1187</v>
      </c>
    </row>
    <row r="149" spans="2:6" hidden="1" outlineLevel="1" x14ac:dyDescent="0.25">
      <c r="B149" s="7" t="s">
        <v>538</v>
      </c>
      <c r="C149" s="7" t="s">
        <v>539</v>
      </c>
      <c r="D149" s="9">
        <v>0</v>
      </c>
      <c r="E149" s="9">
        <v>0</v>
      </c>
      <c r="F149" s="7" t="s">
        <v>1187</v>
      </c>
    </row>
    <row r="150" spans="2:6" hidden="1" outlineLevel="1" x14ac:dyDescent="0.25">
      <c r="B150" s="7" t="s">
        <v>540</v>
      </c>
      <c r="C150" s="7" t="s">
        <v>541</v>
      </c>
      <c r="D150" s="9">
        <v>1</v>
      </c>
      <c r="E150" s="9">
        <v>1</v>
      </c>
      <c r="F150" s="7" t="s">
        <v>1187</v>
      </c>
    </row>
    <row r="151" spans="2:6" hidden="1" outlineLevel="1" x14ac:dyDescent="0.25">
      <c r="B151" s="7" t="s">
        <v>542</v>
      </c>
      <c r="C151" s="7" t="s">
        <v>543</v>
      </c>
      <c r="D151" s="9">
        <v>0</v>
      </c>
      <c r="E151" s="9">
        <v>0</v>
      </c>
      <c r="F151" s="7" t="s">
        <v>1187</v>
      </c>
    </row>
    <row r="152" spans="2:6" hidden="1" outlineLevel="1" x14ac:dyDescent="0.25">
      <c r="B152" s="7" t="s">
        <v>544</v>
      </c>
      <c r="C152" s="7" t="s">
        <v>545</v>
      </c>
      <c r="D152" s="9">
        <v>0</v>
      </c>
      <c r="E152" s="9">
        <v>0</v>
      </c>
      <c r="F152" s="7" t="s">
        <v>1187</v>
      </c>
    </row>
    <row r="153" spans="2:6" hidden="1" outlineLevel="1" x14ac:dyDescent="0.25">
      <c r="B153" s="7" t="s">
        <v>546</v>
      </c>
      <c r="C153" s="7" t="s">
        <v>547</v>
      </c>
      <c r="D153" s="9">
        <v>0</v>
      </c>
      <c r="E153" s="9">
        <v>0</v>
      </c>
      <c r="F153" s="7" t="s">
        <v>1187</v>
      </c>
    </row>
    <row r="154" spans="2:6" hidden="1" outlineLevel="1" x14ac:dyDescent="0.25">
      <c r="B154" s="7" t="s">
        <v>548</v>
      </c>
      <c r="C154" s="7" t="s">
        <v>549</v>
      </c>
      <c r="D154" s="9">
        <v>0</v>
      </c>
      <c r="E154" s="9">
        <v>0</v>
      </c>
      <c r="F154" s="7" t="s">
        <v>1187</v>
      </c>
    </row>
    <row r="155" spans="2:6" hidden="1" outlineLevel="1" x14ac:dyDescent="0.25">
      <c r="B155" s="7" t="s">
        <v>550</v>
      </c>
      <c r="C155" s="7" t="s">
        <v>551</v>
      </c>
      <c r="D155" s="9">
        <v>0</v>
      </c>
      <c r="E155" s="9">
        <v>0</v>
      </c>
      <c r="F155" s="7" t="s">
        <v>1187</v>
      </c>
    </row>
    <row r="156" spans="2:6" hidden="1" outlineLevel="1" x14ac:dyDescent="0.25">
      <c r="B156" s="7" t="s">
        <v>552</v>
      </c>
      <c r="C156" s="7" t="s">
        <v>553</v>
      </c>
      <c r="D156" s="9">
        <v>0</v>
      </c>
      <c r="E156" s="9">
        <v>0</v>
      </c>
      <c r="F156" s="7" t="s">
        <v>1187</v>
      </c>
    </row>
    <row r="157" spans="2:6" hidden="1" outlineLevel="1" x14ac:dyDescent="0.25">
      <c r="B157" s="7" t="s">
        <v>554</v>
      </c>
      <c r="C157" s="7" t="s">
        <v>555</v>
      </c>
      <c r="D157" s="9">
        <v>0</v>
      </c>
      <c r="E157" s="9">
        <v>0</v>
      </c>
      <c r="F157" s="7" t="s">
        <v>1187</v>
      </c>
    </row>
    <row r="158" spans="2:6" hidden="1" outlineLevel="1" x14ac:dyDescent="0.25">
      <c r="B158" s="7" t="s">
        <v>556</v>
      </c>
      <c r="C158" s="7" t="s">
        <v>557</v>
      </c>
      <c r="D158" s="9">
        <v>0</v>
      </c>
      <c r="E158" s="9">
        <v>0</v>
      </c>
      <c r="F158" s="7" t="s">
        <v>1187</v>
      </c>
    </row>
    <row r="159" spans="2:6" hidden="1" outlineLevel="1" x14ac:dyDescent="0.25">
      <c r="B159" s="7" t="s">
        <v>558</v>
      </c>
      <c r="C159" s="7" t="s">
        <v>559</v>
      </c>
      <c r="D159" s="9">
        <v>0</v>
      </c>
      <c r="E159" s="9">
        <v>0</v>
      </c>
      <c r="F159" s="7" t="s">
        <v>1187</v>
      </c>
    </row>
    <row r="160" spans="2:6" hidden="1" outlineLevel="1" x14ac:dyDescent="0.25">
      <c r="B160" s="7" t="s">
        <v>560</v>
      </c>
      <c r="C160" s="7" t="s">
        <v>561</v>
      </c>
      <c r="D160" s="9">
        <v>0</v>
      </c>
      <c r="E160" s="9">
        <v>0</v>
      </c>
      <c r="F160" s="7" t="s">
        <v>1187</v>
      </c>
    </row>
    <row r="161" spans="2:6" hidden="1" outlineLevel="1" x14ac:dyDescent="0.25">
      <c r="B161" s="7" t="s">
        <v>562</v>
      </c>
      <c r="C161" s="7" t="s">
        <v>563</v>
      </c>
      <c r="D161" s="9">
        <v>0</v>
      </c>
      <c r="E161" s="9">
        <v>0</v>
      </c>
      <c r="F161" s="7" t="s">
        <v>1187</v>
      </c>
    </row>
    <row r="162" spans="2:6" hidden="1" outlineLevel="1" x14ac:dyDescent="0.25">
      <c r="B162" s="7" t="s">
        <v>564</v>
      </c>
      <c r="C162" s="7" t="s">
        <v>565</v>
      </c>
      <c r="D162" s="9">
        <v>0</v>
      </c>
      <c r="E162" s="9">
        <v>0</v>
      </c>
      <c r="F162" s="7" t="s">
        <v>1187</v>
      </c>
    </row>
    <row r="163" spans="2:6" hidden="1" outlineLevel="1" x14ac:dyDescent="0.25">
      <c r="B163" s="7" t="s">
        <v>566</v>
      </c>
      <c r="C163" s="7" t="s">
        <v>567</v>
      </c>
      <c r="D163" s="9">
        <v>0</v>
      </c>
      <c r="E163" s="9">
        <v>0</v>
      </c>
      <c r="F163" s="7" t="s">
        <v>1187</v>
      </c>
    </row>
    <row r="164" spans="2:6" hidden="1" outlineLevel="1" x14ac:dyDescent="0.25">
      <c r="B164" s="7" t="s">
        <v>568</v>
      </c>
      <c r="C164" s="7" t="s">
        <v>569</v>
      </c>
      <c r="D164" s="9">
        <v>0</v>
      </c>
      <c r="E164" s="9">
        <v>0</v>
      </c>
      <c r="F164" s="7" t="s">
        <v>1187</v>
      </c>
    </row>
    <row r="165" spans="2:6" hidden="1" outlineLevel="1" x14ac:dyDescent="0.25">
      <c r="B165" s="7" t="s">
        <v>570</v>
      </c>
      <c r="C165" s="7" t="s">
        <v>571</v>
      </c>
      <c r="D165" s="9">
        <v>0</v>
      </c>
      <c r="E165" s="9">
        <v>0</v>
      </c>
      <c r="F165" s="7" t="s">
        <v>1187</v>
      </c>
    </row>
    <row r="166" spans="2:6" hidden="1" outlineLevel="1" x14ac:dyDescent="0.25">
      <c r="B166" s="7" t="s">
        <v>572</v>
      </c>
      <c r="C166" s="7" t="s">
        <v>573</v>
      </c>
      <c r="D166" s="9">
        <v>0</v>
      </c>
      <c r="E166" s="9">
        <v>0</v>
      </c>
      <c r="F166" s="7" t="s">
        <v>1187</v>
      </c>
    </row>
    <row r="167" spans="2:6" hidden="1" outlineLevel="1" x14ac:dyDescent="0.25">
      <c r="B167" s="7" t="s">
        <v>574</v>
      </c>
      <c r="C167" s="7" t="s">
        <v>575</v>
      </c>
      <c r="D167" s="9">
        <v>0</v>
      </c>
      <c r="E167" s="9">
        <v>0</v>
      </c>
      <c r="F167" s="7" t="s">
        <v>1187</v>
      </c>
    </row>
    <row r="168" spans="2:6" hidden="1" outlineLevel="1" x14ac:dyDescent="0.25">
      <c r="B168" s="7" t="s">
        <v>576</v>
      </c>
      <c r="C168" s="7" t="s">
        <v>577</v>
      </c>
      <c r="D168" s="9">
        <v>0</v>
      </c>
      <c r="E168" s="9">
        <v>0</v>
      </c>
      <c r="F168" s="7" t="s">
        <v>1187</v>
      </c>
    </row>
    <row r="169" spans="2:6" hidden="1" outlineLevel="1" x14ac:dyDescent="0.25">
      <c r="B169" s="7" t="s">
        <v>578</v>
      </c>
      <c r="C169" s="7" t="s">
        <v>579</v>
      </c>
      <c r="D169" s="9">
        <v>0</v>
      </c>
      <c r="E169" s="9">
        <v>0</v>
      </c>
      <c r="F169" s="7" t="s">
        <v>1187</v>
      </c>
    </row>
    <row r="170" spans="2:6" hidden="1" outlineLevel="1" x14ac:dyDescent="0.25">
      <c r="B170" s="7" t="s">
        <v>580</v>
      </c>
      <c r="C170" s="7" t="s">
        <v>581</v>
      </c>
      <c r="D170" s="9">
        <v>0</v>
      </c>
      <c r="E170" s="9">
        <v>0</v>
      </c>
      <c r="F170" s="7" t="s">
        <v>1187</v>
      </c>
    </row>
    <row r="171" spans="2:6" hidden="1" outlineLevel="1" x14ac:dyDescent="0.25">
      <c r="B171" s="7" t="s">
        <v>582</v>
      </c>
      <c r="C171" s="7" t="s">
        <v>583</v>
      </c>
      <c r="D171" s="9">
        <v>0</v>
      </c>
      <c r="E171" s="9">
        <v>0</v>
      </c>
      <c r="F171" s="7" t="s">
        <v>1187</v>
      </c>
    </row>
    <row r="172" spans="2:6" hidden="1" outlineLevel="1" x14ac:dyDescent="0.25">
      <c r="B172" s="7" t="s">
        <v>584</v>
      </c>
      <c r="C172" s="7" t="s">
        <v>585</v>
      </c>
      <c r="D172" s="9">
        <v>0</v>
      </c>
      <c r="E172" s="9">
        <v>0</v>
      </c>
      <c r="F172" s="7" t="s">
        <v>1187</v>
      </c>
    </row>
    <row r="173" spans="2:6" hidden="1" outlineLevel="1" x14ac:dyDescent="0.25">
      <c r="B173" s="7" t="s">
        <v>586</v>
      </c>
      <c r="C173" s="7" t="s">
        <v>587</v>
      </c>
      <c r="D173" s="9">
        <v>0</v>
      </c>
      <c r="E173" s="9">
        <v>0</v>
      </c>
      <c r="F173" s="7" t="s">
        <v>1187</v>
      </c>
    </row>
    <row r="174" spans="2:6" hidden="1" outlineLevel="1" x14ac:dyDescent="0.25">
      <c r="B174" s="7" t="s">
        <v>588</v>
      </c>
      <c r="C174" s="7" t="s">
        <v>589</v>
      </c>
      <c r="D174" s="9">
        <v>0</v>
      </c>
      <c r="E174" s="9">
        <v>0</v>
      </c>
      <c r="F174" s="7" t="s">
        <v>1187</v>
      </c>
    </row>
    <row r="175" spans="2:6" hidden="1" outlineLevel="1" x14ac:dyDescent="0.25">
      <c r="B175" s="7" t="s">
        <v>590</v>
      </c>
      <c r="C175" s="7" t="s">
        <v>591</v>
      </c>
      <c r="D175" s="9">
        <v>0</v>
      </c>
      <c r="E175" s="9">
        <v>0</v>
      </c>
      <c r="F175" s="7" t="s">
        <v>1187</v>
      </c>
    </row>
    <row r="176" spans="2:6" hidden="1" outlineLevel="1" x14ac:dyDescent="0.25">
      <c r="B176" s="7" t="s">
        <v>592</v>
      </c>
      <c r="C176" s="7" t="s">
        <v>593</v>
      </c>
      <c r="D176" s="9">
        <v>0</v>
      </c>
      <c r="E176" s="9">
        <v>0</v>
      </c>
      <c r="F176" s="7" t="s">
        <v>1187</v>
      </c>
    </row>
    <row r="177" spans="2:6" hidden="1" outlineLevel="1" x14ac:dyDescent="0.25">
      <c r="B177" s="7" t="s">
        <v>594</v>
      </c>
      <c r="C177" s="7" t="s">
        <v>595</v>
      </c>
      <c r="D177" s="9">
        <v>0</v>
      </c>
      <c r="E177" s="9">
        <v>0</v>
      </c>
      <c r="F177" s="7" t="s">
        <v>1187</v>
      </c>
    </row>
    <row r="178" spans="2:6" hidden="1" outlineLevel="1" x14ac:dyDescent="0.25">
      <c r="B178" s="7" t="s">
        <v>596</v>
      </c>
      <c r="C178" s="7" t="s">
        <v>597</v>
      </c>
      <c r="D178" s="9">
        <v>0</v>
      </c>
      <c r="E178" s="9">
        <v>0</v>
      </c>
      <c r="F178" s="7" t="s">
        <v>1187</v>
      </c>
    </row>
    <row r="179" spans="2:6" hidden="1" outlineLevel="1" x14ac:dyDescent="0.25">
      <c r="B179" s="7" t="s">
        <v>598</v>
      </c>
      <c r="C179" s="7" t="s">
        <v>599</v>
      </c>
      <c r="D179" s="9">
        <v>0</v>
      </c>
      <c r="E179" s="9">
        <v>0</v>
      </c>
      <c r="F179" s="7" t="s">
        <v>1187</v>
      </c>
    </row>
    <row r="180" spans="2:6" hidden="1" outlineLevel="1" x14ac:dyDescent="0.25">
      <c r="B180" s="7" t="s">
        <v>600</v>
      </c>
      <c r="C180" s="7" t="s">
        <v>601</v>
      </c>
      <c r="D180" s="9">
        <v>0</v>
      </c>
      <c r="E180" s="9">
        <v>0</v>
      </c>
      <c r="F180" s="7" t="s">
        <v>1187</v>
      </c>
    </row>
    <row r="181" spans="2:6" hidden="1" outlineLevel="1" x14ac:dyDescent="0.25">
      <c r="B181" s="7" t="s">
        <v>602</v>
      </c>
      <c r="C181" s="7" t="s">
        <v>603</v>
      </c>
      <c r="D181" s="9">
        <v>0</v>
      </c>
      <c r="E181" s="9">
        <v>0</v>
      </c>
      <c r="F181" s="7" t="s">
        <v>1187</v>
      </c>
    </row>
    <row r="182" spans="2:6" hidden="1" outlineLevel="1" x14ac:dyDescent="0.25">
      <c r="B182" s="7" t="s">
        <v>604</v>
      </c>
      <c r="C182" s="7" t="s">
        <v>605</v>
      </c>
      <c r="D182" s="9">
        <v>0</v>
      </c>
      <c r="E182" s="9">
        <v>0</v>
      </c>
      <c r="F182" s="7" t="s">
        <v>1187</v>
      </c>
    </row>
    <row r="183" spans="2:6" hidden="1" outlineLevel="1" x14ac:dyDescent="0.25">
      <c r="B183" s="7" t="s">
        <v>606</v>
      </c>
      <c r="C183" s="7" t="s">
        <v>607</v>
      </c>
      <c r="D183" s="9">
        <v>0</v>
      </c>
      <c r="E183" s="9">
        <v>0</v>
      </c>
      <c r="F183" s="7" t="s">
        <v>1187</v>
      </c>
    </row>
    <row r="184" spans="2:6" hidden="1" outlineLevel="1" x14ac:dyDescent="0.25">
      <c r="B184" s="7" t="s">
        <v>608</v>
      </c>
      <c r="C184" s="7" t="s">
        <v>609</v>
      </c>
      <c r="D184" s="9">
        <v>0</v>
      </c>
      <c r="E184" s="9">
        <v>0</v>
      </c>
      <c r="F184" s="7" t="s">
        <v>1187</v>
      </c>
    </row>
    <row r="185" spans="2:6" hidden="1" outlineLevel="1" x14ac:dyDescent="0.25">
      <c r="B185" s="7" t="s">
        <v>610</v>
      </c>
      <c r="C185" s="7" t="s">
        <v>611</v>
      </c>
      <c r="D185" s="9">
        <v>0</v>
      </c>
      <c r="E185" s="9">
        <v>0</v>
      </c>
      <c r="F185" s="7" t="s">
        <v>1187</v>
      </c>
    </row>
    <row r="186" spans="2:6" hidden="1" outlineLevel="1" x14ac:dyDescent="0.25">
      <c r="B186" s="7" t="s">
        <v>612</v>
      </c>
      <c r="C186" s="7" t="s">
        <v>613</v>
      </c>
      <c r="D186" s="9">
        <v>1</v>
      </c>
      <c r="E186" s="9">
        <v>1</v>
      </c>
      <c r="F186" s="7" t="s">
        <v>1187</v>
      </c>
    </row>
    <row r="187" spans="2:6" hidden="1" outlineLevel="1" x14ac:dyDescent="0.25">
      <c r="B187" s="7" t="s">
        <v>614</v>
      </c>
      <c r="C187" s="7" t="s">
        <v>615</v>
      </c>
      <c r="D187" s="9">
        <v>0</v>
      </c>
      <c r="E187" s="9">
        <v>0</v>
      </c>
      <c r="F187" s="7" t="s">
        <v>1187</v>
      </c>
    </row>
    <row r="188" spans="2:6" hidden="1" outlineLevel="1" x14ac:dyDescent="0.25">
      <c r="B188" s="7" t="s">
        <v>616</v>
      </c>
      <c r="C188" s="7" t="s">
        <v>617</v>
      </c>
      <c r="D188" s="9">
        <v>0</v>
      </c>
      <c r="E188" s="9">
        <v>0</v>
      </c>
      <c r="F188" s="7" t="s">
        <v>1187</v>
      </c>
    </row>
    <row r="189" spans="2:6" hidden="1" outlineLevel="1" x14ac:dyDescent="0.25">
      <c r="B189" s="7" t="s">
        <v>618</v>
      </c>
      <c r="C189" s="7" t="s">
        <v>619</v>
      </c>
      <c r="D189" s="9">
        <v>0</v>
      </c>
      <c r="E189" s="9">
        <v>0</v>
      </c>
      <c r="F189" s="7" t="s">
        <v>1187</v>
      </c>
    </row>
    <row r="190" spans="2:6" hidden="1" outlineLevel="1" x14ac:dyDescent="0.25">
      <c r="B190" s="7" t="s">
        <v>620</v>
      </c>
      <c r="C190" s="7" t="s">
        <v>621</v>
      </c>
      <c r="D190" s="9">
        <v>0</v>
      </c>
      <c r="E190" s="9">
        <v>0</v>
      </c>
      <c r="F190" s="7" t="s">
        <v>1187</v>
      </c>
    </row>
    <row r="191" spans="2:6" hidden="1" outlineLevel="1" x14ac:dyDescent="0.25">
      <c r="B191" s="7" t="s">
        <v>622</v>
      </c>
      <c r="C191" s="7" t="s">
        <v>623</v>
      </c>
      <c r="D191" s="9">
        <v>0</v>
      </c>
      <c r="E191" s="9">
        <v>0</v>
      </c>
      <c r="F191" s="7" t="s">
        <v>1187</v>
      </c>
    </row>
    <row r="192" spans="2:6" hidden="1" outlineLevel="1" x14ac:dyDescent="0.25">
      <c r="B192" s="7" t="s">
        <v>624</v>
      </c>
      <c r="C192" s="7" t="s">
        <v>625</v>
      </c>
      <c r="D192" s="9">
        <v>0</v>
      </c>
      <c r="E192" s="9">
        <v>0</v>
      </c>
      <c r="F192" s="7" t="s">
        <v>1187</v>
      </c>
    </row>
    <row r="193" spans="2:6" hidden="1" outlineLevel="1" x14ac:dyDescent="0.25">
      <c r="B193" s="7" t="s">
        <v>626</v>
      </c>
      <c r="C193" s="7" t="s">
        <v>627</v>
      </c>
      <c r="D193" s="9">
        <v>0</v>
      </c>
      <c r="E193" s="9">
        <v>0</v>
      </c>
      <c r="F193" s="7" t="s">
        <v>1187</v>
      </c>
    </row>
    <row r="194" spans="2:6" hidden="1" outlineLevel="1" x14ac:dyDescent="0.25">
      <c r="B194" s="7" t="s">
        <v>628</v>
      </c>
      <c r="C194" s="7" t="s">
        <v>629</v>
      </c>
      <c r="D194" s="9">
        <v>0</v>
      </c>
      <c r="E194" s="9">
        <v>0</v>
      </c>
      <c r="F194" s="7" t="s">
        <v>1187</v>
      </c>
    </row>
    <row r="195" spans="2:6" hidden="1" outlineLevel="1" x14ac:dyDescent="0.25">
      <c r="B195" s="7" t="s">
        <v>630</v>
      </c>
      <c r="C195" s="7" t="s">
        <v>631</v>
      </c>
      <c r="D195" s="9">
        <v>0</v>
      </c>
      <c r="E195" s="9">
        <v>0</v>
      </c>
      <c r="F195" s="7" t="s">
        <v>1187</v>
      </c>
    </row>
    <row r="196" spans="2:6" hidden="1" outlineLevel="1" x14ac:dyDescent="0.25">
      <c r="B196" s="7" t="s">
        <v>632</v>
      </c>
      <c r="C196" s="7" t="s">
        <v>633</v>
      </c>
      <c r="D196" s="9">
        <v>0</v>
      </c>
      <c r="E196" s="9">
        <v>0</v>
      </c>
      <c r="F196" s="7" t="s">
        <v>1187</v>
      </c>
    </row>
    <row r="197" spans="2:6" hidden="1" outlineLevel="1" x14ac:dyDescent="0.25">
      <c r="B197" s="7" t="s">
        <v>634</v>
      </c>
      <c r="C197" s="7" t="s">
        <v>635</v>
      </c>
      <c r="D197" s="9">
        <v>0</v>
      </c>
      <c r="E197" s="9">
        <v>0</v>
      </c>
      <c r="F197" s="7" t="s">
        <v>1187</v>
      </c>
    </row>
    <row r="198" spans="2:6" hidden="1" outlineLevel="1" x14ac:dyDescent="0.25">
      <c r="B198" s="7" t="s">
        <v>636</v>
      </c>
      <c r="C198" s="7" t="s">
        <v>637</v>
      </c>
      <c r="D198" s="9">
        <v>0</v>
      </c>
      <c r="E198" s="9">
        <v>0</v>
      </c>
      <c r="F198" s="7" t="s">
        <v>1187</v>
      </c>
    </row>
    <row r="199" spans="2:6" hidden="1" outlineLevel="1" x14ac:dyDescent="0.25">
      <c r="B199" s="7" t="s">
        <v>638</v>
      </c>
      <c r="C199" s="7" t="s">
        <v>639</v>
      </c>
      <c r="D199" s="9">
        <v>0</v>
      </c>
      <c r="E199" s="9">
        <v>0</v>
      </c>
      <c r="F199" s="7" t="s">
        <v>1187</v>
      </c>
    </row>
    <row r="200" spans="2:6" hidden="1" outlineLevel="1" x14ac:dyDescent="0.25">
      <c r="B200" s="7" t="s">
        <v>640</v>
      </c>
      <c r="C200" s="7" t="s">
        <v>641</v>
      </c>
      <c r="D200" s="9">
        <v>0</v>
      </c>
      <c r="E200" s="9">
        <v>0</v>
      </c>
      <c r="F200" s="7" t="s">
        <v>1187</v>
      </c>
    </row>
    <row r="201" spans="2:6" hidden="1" outlineLevel="1" x14ac:dyDescent="0.25">
      <c r="B201" s="7" t="s">
        <v>642</v>
      </c>
      <c r="C201" s="7" t="s">
        <v>643</v>
      </c>
      <c r="D201" s="9">
        <v>0</v>
      </c>
      <c r="E201" s="9">
        <v>0</v>
      </c>
      <c r="F201" s="7" t="s">
        <v>1187</v>
      </c>
    </row>
    <row r="202" spans="2:6" hidden="1" outlineLevel="1" x14ac:dyDescent="0.25">
      <c r="B202" s="7" t="s">
        <v>644</v>
      </c>
      <c r="C202" s="7" t="s">
        <v>645</v>
      </c>
      <c r="D202" s="9">
        <v>1</v>
      </c>
      <c r="E202" s="9">
        <v>1</v>
      </c>
      <c r="F202" s="7" t="s">
        <v>1187</v>
      </c>
    </row>
    <row r="203" spans="2:6" hidden="1" outlineLevel="1" x14ac:dyDescent="0.25">
      <c r="B203" s="7" t="s">
        <v>646</v>
      </c>
      <c r="C203" s="7" t="s">
        <v>647</v>
      </c>
      <c r="D203" s="9">
        <v>0</v>
      </c>
      <c r="E203" s="9">
        <v>0</v>
      </c>
      <c r="F203" s="7" t="s">
        <v>1187</v>
      </c>
    </row>
    <row r="204" spans="2:6" hidden="1" outlineLevel="1" x14ac:dyDescent="0.25">
      <c r="B204" s="7" t="s">
        <v>648</v>
      </c>
      <c r="C204" s="7" t="s">
        <v>649</v>
      </c>
      <c r="D204" s="9">
        <v>0</v>
      </c>
      <c r="E204" s="9">
        <v>0</v>
      </c>
      <c r="F204" s="7" t="s">
        <v>1187</v>
      </c>
    </row>
    <row r="205" spans="2:6" hidden="1" outlineLevel="1" x14ac:dyDescent="0.25">
      <c r="B205" s="7" t="s">
        <v>650</v>
      </c>
      <c r="C205" s="7" t="s">
        <v>651</v>
      </c>
      <c r="D205" s="9">
        <v>0</v>
      </c>
      <c r="E205" s="9">
        <v>0</v>
      </c>
      <c r="F205" s="7" t="s">
        <v>1187</v>
      </c>
    </row>
    <row r="206" spans="2:6" hidden="1" outlineLevel="1" x14ac:dyDescent="0.25">
      <c r="B206" s="7" t="s">
        <v>652</v>
      </c>
      <c r="C206" s="7" t="s">
        <v>653</v>
      </c>
      <c r="D206" s="9">
        <v>0</v>
      </c>
      <c r="E206" s="9">
        <v>0</v>
      </c>
      <c r="F206" s="7" t="s">
        <v>1187</v>
      </c>
    </row>
    <row r="207" spans="2:6" hidden="1" outlineLevel="1" x14ac:dyDescent="0.25">
      <c r="B207" s="7" t="s">
        <v>654</v>
      </c>
      <c r="C207" s="7" t="s">
        <v>655</v>
      </c>
      <c r="D207" s="9">
        <v>0</v>
      </c>
      <c r="E207" s="9">
        <v>0</v>
      </c>
      <c r="F207" s="7" t="s">
        <v>1187</v>
      </c>
    </row>
    <row r="208" spans="2:6" hidden="1" outlineLevel="1" x14ac:dyDescent="0.25">
      <c r="B208" s="7" t="s">
        <v>656</v>
      </c>
      <c r="C208" s="7" t="s">
        <v>657</v>
      </c>
      <c r="D208" s="9">
        <v>0</v>
      </c>
      <c r="E208" s="9">
        <v>0</v>
      </c>
      <c r="F208" s="7" t="s">
        <v>1187</v>
      </c>
    </row>
    <row r="209" spans="2:6" hidden="1" outlineLevel="1" x14ac:dyDescent="0.25">
      <c r="B209" s="7" t="s">
        <v>658</v>
      </c>
      <c r="C209" s="7" t="s">
        <v>659</v>
      </c>
      <c r="D209" s="9">
        <v>0</v>
      </c>
      <c r="E209" s="9">
        <v>0</v>
      </c>
      <c r="F209" s="7" t="s">
        <v>1187</v>
      </c>
    </row>
    <row r="210" spans="2:6" hidden="1" outlineLevel="1" x14ac:dyDescent="0.25">
      <c r="B210" s="7" t="s">
        <v>660</v>
      </c>
      <c r="C210" s="7" t="s">
        <v>661</v>
      </c>
      <c r="D210" s="9">
        <v>0</v>
      </c>
      <c r="E210" s="9">
        <v>0</v>
      </c>
      <c r="F210" s="7" t="s">
        <v>1187</v>
      </c>
    </row>
    <row r="211" spans="2:6" hidden="1" outlineLevel="1" x14ac:dyDescent="0.25">
      <c r="B211" s="7" t="s">
        <v>662</v>
      </c>
      <c r="C211" s="7" t="s">
        <v>663</v>
      </c>
      <c r="D211" s="9">
        <v>0</v>
      </c>
      <c r="E211" s="9">
        <v>0</v>
      </c>
      <c r="F211" s="7" t="s">
        <v>1187</v>
      </c>
    </row>
    <row r="212" spans="2:6" hidden="1" outlineLevel="1" x14ac:dyDescent="0.25">
      <c r="B212" s="7" t="s">
        <v>664</v>
      </c>
      <c r="C212" s="7" t="s">
        <v>665</v>
      </c>
      <c r="D212" s="9">
        <v>0</v>
      </c>
      <c r="E212" s="9">
        <v>0</v>
      </c>
      <c r="F212" s="7" t="s">
        <v>1187</v>
      </c>
    </row>
    <row r="213" spans="2:6" hidden="1" outlineLevel="1" x14ac:dyDescent="0.25">
      <c r="B213" s="7" t="s">
        <v>666</v>
      </c>
      <c r="C213" s="7" t="s">
        <v>667</v>
      </c>
      <c r="D213" s="9">
        <v>0</v>
      </c>
      <c r="E213" s="9">
        <v>0</v>
      </c>
      <c r="F213" s="7" t="s">
        <v>1187</v>
      </c>
    </row>
    <row r="214" spans="2:6" hidden="1" outlineLevel="1" x14ac:dyDescent="0.25">
      <c r="B214" s="7" t="s">
        <v>668</v>
      </c>
      <c r="C214" s="7" t="s">
        <v>669</v>
      </c>
      <c r="D214" s="9">
        <v>0</v>
      </c>
      <c r="E214" s="9">
        <v>0</v>
      </c>
      <c r="F214" s="7" t="s">
        <v>1187</v>
      </c>
    </row>
    <row r="215" spans="2:6" hidden="1" outlineLevel="1" x14ac:dyDescent="0.25">
      <c r="B215" s="7" t="s">
        <v>670</v>
      </c>
      <c r="C215" s="7" t="s">
        <v>671</v>
      </c>
      <c r="D215" s="9">
        <v>0</v>
      </c>
      <c r="E215" s="9">
        <v>0</v>
      </c>
      <c r="F215" s="7" t="s">
        <v>1187</v>
      </c>
    </row>
    <row r="216" spans="2:6" hidden="1" outlineLevel="1" x14ac:dyDescent="0.25">
      <c r="B216" s="7" t="s">
        <v>672</v>
      </c>
      <c r="C216" s="7" t="s">
        <v>673</v>
      </c>
      <c r="D216" s="9">
        <v>0</v>
      </c>
      <c r="E216" s="9">
        <v>0</v>
      </c>
      <c r="F216" s="7" t="s">
        <v>1187</v>
      </c>
    </row>
    <row r="217" spans="2:6" hidden="1" outlineLevel="1" x14ac:dyDescent="0.25">
      <c r="B217" s="7" t="s">
        <v>674</v>
      </c>
      <c r="C217" s="7" t="s">
        <v>675</v>
      </c>
      <c r="D217" s="9">
        <v>0</v>
      </c>
      <c r="E217" s="9">
        <v>0</v>
      </c>
      <c r="F217" s="7" t="s">
        <v>1187</v>
      </c>
    </row>
    <row r="218" spans="2:6" hidden="1" outlineLevel="1" x14ac:dyDescent="0.25">
      <c r="B218" s="7" t="s">
        <v>676</v>
      </c>
      <c r="C218" s="7" t="s">
        <v>677</v>
      </c>
      <c r="D218" s="9">
        <v>0</v>
      </c>
      <c r="E218" s="9">
        <v>0</v>
      </c>
      <c r="F218" s="7" t="s">
        <v>1187</v>
      </c>
    </row>
    <row r="219" spans="2:6" hidden="1" outlineLevel="1" x14ac:dyDescent="0.25">
      <c r="B219" s="7" t="s">
        <v>678</v>
      </c>
      <c r="C219" s="7" t="s">
        <v>679</v>
      </c>
      <c r="D219" s="9">
        <v>0</v>
      </c>
      <c r="E219" s="9">
        <v>0</v>
      </c>
      <c r="F219" s="7" t="s">
        <v>1187</v>
      </c>
    </row>
    <row r="220" spans="2:6" hidden="1" outlineLevel="1" x14ac:dyDescent="0.25">
      <c r="B220" s="7" t="s">
        <v>680</v>
      </c>
      <c r="C220" s="7" t="s">
        <v>681</v>
      </c>
      <c r="D220" s="9">
        <v>0</v>
      </c>
      <c r="E220" s="9">
        <v>0</v>
      </c>
      <c r="F220" s="7" t="s">
        <v>1187</v>
      </c>
    </row>
    <row r="221" spans="2:6" ht="15.75" hidden="1" outlineLevel="1" thickBot="1" x14ac:dyDescent="0.3">
      <c r="B221" s="4" t="s">
        <v>682</v>
      </c>
      <c r="C221" s="4" t="s">
        <v>683</v>
      </c>
      <c r="D221" s="8">
        <v>0</v>
      </c>
      <c r="E221" s="8">
        <v>0</v>
      </c>
      <c r="F221" s="4" t="s">
        <v>1187</v>
      </c>
    </row>
    <row r="222" spans="2:6" collapsed="1" x14ac:dyDescent="0.25">
      <c r="B222" s="6"/>
      <c r="C222" s="6"/>
      <c r="D222" s="10"/>
      <c r="E222" s="10"/>
      <c r="F222" s="6"/>
    </row>
    <row r="225" spans="1:7" ht="15.75" thickBot="1" x14ac:dyDescent="0.3">
      <c r="A225" t="s">
        <v>278</v>
      </c>
    </row>
    <row r="226" spans="1:7" ht="15.75" thickBot="1" x14ac:dyDescent="0.3">
      <c r="B226" s="5" t="s">
        <v>272</v>
      </c>
      <c r="C226" s="5" t="s">
        <v>273</v>
      </c>
      <c r="D226" s="5" t="s">
        <v>279</v>
      </c>
      <c r="E226" s="5" t="s">
        <v>280</v>
      </c>
      <c r="F226" s="5" t="s">
        <v>281</v>
      </c>
      <c r="G226" s="5" t="s">
        <v>282</v>
      </c>
    </row>
    <row r="227" spans="1:7" x14ac:dyDescent="0.25">
      <c r="B227" s="12" t="s">
        <v>1388</v>
      </c>
      <c r="C227" s="11"/>
      <c r="D227" s="11"/>
      <c r="E227" s="11"/>
      <c r="F227" s="11"/>
      <c r="G227" s="11"/>
    </row>
    <row r="228" spans="1:7" hidden="1" outlineLevel="1" x14ac:dyDescent="0.25">
      <c r="B228" s="7" t="s">
        <v>684</v>
      </c>
      <c r="C228" s="7" t="s">
        <v>203</v>
      </c>
      <c r="D228" s="9">
        <v>1</v>
      </c>
      <c r="E228" s="7" t="s">
        <v>685</v>
      </c>
      <c r="F228" s="7" t="s">
        <v>686</v>
      </c>
      <c r="G228" s="9">
        <v>0</v>
      </c>
    </row>
    <row r="229" spans="1:7" hidden="1" outlineLevel="1" x14ac:dyDescent="0.25">
      <c r="B229" s="7" t="s">
        <v>687</v>
      </c>
      <c r="C229" s="7" t="s">
        <v>204</v>
      </c>
      <c r="D229" s="9">
        <v>1</v>
      </c>
      <c r="E229" s="7" t="s">
        <v>688</v>
      </c>
      <c r="F229" s="7" t="s">
        <v>686</v>
      </c>
      <c r="G229" s="9">
        <v>0</v>
      </c>
    </row>
    <row r="230" spans="1:7" hidden="1" outlineLevel="1" x14ac:dyDescent="0.25">
      <c r="B230" s="7" t="s">
        <v>689</v>
      </c>
      <c r="C230" s="7" t="s">
        <v>205</v>
      </c>
      <c r="D230" s="9">
        <v>1</v>
      </c>
      <c r="E230" s="7" t="s">
        <v>690</v>
      </c>
      <c r="F230" s="7" t="s">
        <v>686</v>
      </c>
      <c r="G230" s="9">
        <v>0</v>
      </c>
    </row>
    <row r="231" spans="1:7" hidden="1" outlineLevel="1" x14ac:dyDescent="0.25">
      <c r="B231" s="7" t="s">
        <v>691</v>
      </c>
      <c r="C231" s="7" t="s">
        <v>206</v>
      </c>
      <c r="D231" s="9">
        <v>3</v>
      </c>
      <c r="E231" s="7" t="s">
        <v>692</v>
      </c>
      <c r="F231" s="7" t="s">
        <v>693</v>
      </c>
      <c r="G231" s="9">
        <v>2</v>
      </c>
    </row>
    <row r="232" spans="1:7" hidden="1" outlineLevel="1" x14ac:dyDescent="0.25">
      <c r="B232" s="7" t="s">
        <v>694</v>
      </c>
      <c r="C232" s="7" t="s">
        <v>207</v>
      </c>
      <c r="D232" s="9">
        <v>2</v>
      </c>
      <c r="E232" s="7" t="s">
        <v>695</v>
      </c>
      <c r="F232" s="7" t="s">
        <v>693</v>
      </c>
      <c r="G232" s="9">
        <v>1</v>
      </c>
    </row>
    <row r="233" spans="1:7" hidden="1" outlineLevel="1" x14ac:dyDescent="0.25">
      <c r="B233" s="7" t="s">
        <v>696</v>
      </c>
      <c r="C233" s="7" t="s">
        <v>208</v>
      </c>
      <c r="D233" s="9">
        <v>1</v>
      </c>
      <c r="E233" s="7" t="s">
        <v>697</v>
      </c>
      <c r="F233" s="7" t="s">
        <v>686</v>
      </c>
      <c r="G233" s="9">
        <v>0</v>
      </c>
    </row>
    <row r="234" spans="1:7" hidden="1" outlineLevel="1" x14ac:dyDescent="0.25">
      <c r="B234" s="7" t="s">
        <v>698</v>
      </c>
      <c r="C234" s="7" t="s">
        <v>209</v>
      </c>
      <c r="D234" s="9">
        <v>4</v>
      </c>
      <c r="E234" s="7" t="s">
        <v>699</v>
      </c>
      <c r="F234" s="7" t="s">
        <v>693</v>
      </c>
      <c r="G234" s="9">
        <v>3</v>
      </c>
    </row>
    <row r="235" spans="1:7" hidden="1" outlineLevel="1" x14ac:dyDescent="0.25">
      <c r="B235" s="7" t="s">
        <v>700</v>
      </c>
      <c r="C235" s="7" t="s">
        <v>210</v>
      </c>
      <c r="D235" s="9">
        <v>1</v>
      </c>
      <c r="E235" s="7" t="s">
        <v>701</v>
      </c>
      <c r="F235" s="7" t="s">
        <v>686</v>
      </c>
      <c r="G235" s="9">
        <v>0</v>
      </c>
    </row>
    <row r="236" spans="1:7" hidden="1" outlineLevel="1" x14ac:dyDescent="0.25">
      <c r="B236" s="7" t="s">
        <v>702</v>
      </c>
      <c r="C236" s="7" t="s">
        <v>211</v>
      </c>
      <c r="D236" s="9">
        <v>1</v>
      </c>
      <c r="E236" s="7" t="s">
        <v>703</v>
      </c>
      <c r="F236" s="7" t="s">
        <v>686</v>
      </c>
      <c r="G236" s="9">
        <v>0</v>
      </c>
    </row>
    <row r="237" spans="1:7" hidden="1" outlineLevel="1" x14ac:dyDescent="0.25">
      <c r="B237" s="7" t="s">
        <v>704</v>
      </c>
      <c r="C237" s="7" t="s">
        <v>212</v>
      </c>
      <c r="D237" s="9">
        <v>1</v>
      </c>
      <c r="E237" s="7" t="s">
        <v>705</v>
      </c>
      <c r="F237" s="7" t="s">
        <v>686</v>
      </c>
      <c r="G237" s="9">
        <v>0</v>
      </c>
    </row>
    <row r="238" spans="1:7" hidden="1" outlineLevel="1" x14ac:dyDescent="0.25">
      <c r="B238" s="7" t="s">
        <v>706</v>
      </c>
      <c r="C238" s="7" t="s">
        <v>213</v>
      </c>
      <c r="D238" s="9">
        <v>3</v>
      </c>
      <c r="E238" s="7" t="s">
        <v>707</v>
      </c>
      <c r="F238" s="7" t="s">
        <v>693</v>
      </c>
      <c r="G238" s="9">
        <v>2</v>
      </c>
    </row>
    <row r="239" spans="1:7" hidden="1" outlineLevel="1" x14ac:dyDescent="0.25">
      <c r="B239" s="7" t="s">
        <v>708</v>
      </c>
      <c r="C239" s="7" t="s">
        <v>214</v>
      </c>
      <c r="D239" s="9">
        <v>2</v>
      </c>
      <c r="E239" s="7" t="s">
        <v>709</v>
      </c>
      <c r="F239" s="7" t="s">
        <v>693</v>
      </c>
      <c r="G239" s="9">
        <v>1</v>
      </c>
    </row>
    <row r="240" spans="1:7" hidden="1" outlineLevel="1" x14ac:dyDescent="0.25">
      <c r="B240" s="7" t="s">
        <v>710</v>
      </c>
      <c r="C240" s="7" t="s">
        <v>215</v>
      </c>
      <c r="D240" s="9">
        <v>1</v>
      </c>
      <c r="E240" s="7" t="s">
        <v>711</v>
      </c>
      <c r="F240" s="7" t="s">
        <v>686</v>
      </c>
      <c r="G240" s="9">
        <v>0</v>
      </c>
    </row>
    <row r="241" spans="2:7" hidden="1" outlineLevel="1" x14ac:dyDescent="0.25">
      <c r="B241" s="7" t="s">
        <v>712</v>
      </c>
      <c r="C241" s="7" t="s">
        <v>216</v>
      </c>
      <c r="D241" s="9">
        <v>3</v>
      </c>
      <c r="E241" s="7" t="s">
        <v>713</v>
      </c>
      <c r="F241" s="7" t="s">
        <v>693</v>
      </c>
      <c r="G241" s="9">
        <v>2</v>
      </c>
    </row>
    <row r="242" spans="2:7" hidden="1" outlineLevel="1" x14ac:dyDescent="0.25">
      <c r="B242" s="7" t="s">
        <v>714</v>
      </c>
      <c r="C242" s="7" t="s">
        <v>217</v>
      </c>
      <c r="D242" s="9">
        <v>2</v>
      </c>
      <c r="E242" s="7" t="s">
        <v>715</v>
      </c>
      <c r="F242" s="7" t="s">
        <v>693</v>
      </c>
      <c r="G242" s="9">
        <v>1</v>
      </c>
    </row>
    <row r="243" spans="2:7" hidden="1" outlineLevel="1" x14ac:dyDescent="0.25">
      <c r="B243" s="7" t="s">
        <v>716</v>
      </c>
      <c r="C243" s="7" t="s">
        <v>218</v>
      </c>
      <c r="D243" s="9">
        <v>4</v>
      </c>
      <c r="E243" s="7" t="s">
        <v>717</v>
      </c>
      <c r="F243" s="7" t="s">
        <v>693</v>
      </c>
      <c r="G243" s="9">
        <v>3</v>
      </c>
    </row>
    <row r="244" spans="2:7" hidden="1" outlineLevel="1" x14ac:dyDescent="0.25">
      <c r="B244" s="7" t="s">
        <v>718</v>
      </c>
      <c r="C244" s="7" t="s">
        <v>219</v>
      </c>
      <c r="D244" s="9">
        <v>4</v>
      </c>
      <c r="E244" s="7" t="s">
        <v>719</v>
      </c>
      <c r="F244" s="7" t="s">
        <v>693</v>
      </c>
      <c r="G244" s="9">
        <v>3</v>
      </c>
    </row>
    <row r="245" spans="2:7" hidden="1" outlineLevel="1" x14ac:dyDescent="0.25">
      <c r="B245" s="7" t="s">
        <v>720</v>
      </c>
      <c r="C245" s="7" t="s">
        <v>220</v>
      </c>
      <c r="D245" s="9">
        <v>2</v>
      </c>
      <c r="E245" s="7" t="s">
        <v>721</v>
      </c>
      <c r="F245" s="7" t="s">
        <v>693</v>
      </c>
      <c r="G245" s="9">
        <v>1</v>
      </c>
    </row>
    <row r="246" spans="2:7" hidden="1" outlineLevel="1" x14ac:dyDescent="0.25">
      <c r="B246" s="7" t="s">
        <v>722</v>
      </c>
      <c r="C246" s="7" t="s">
        <v>221</v>
      </c>
      <c r="D246" s="9">
        <v>1</v>
      </c>
      <c r="E246" s="7" t="s">
        <v>723</v>
      </c>
      <c r="F246" s="7" t="s">
        <v>686</v>
      </c>
      <c r="G246" s="9">
        <v>0</v>
      </c>
    </row>
    <row r="247" spans="2:7" hidden="1" outlineLevel="1" x14ac:dyDescent="0.25">
      <c r="B247" s="7" t="s">
        <v>724</v>
      </c>
      <c r="C247" s="7" t="s">
        <v>222</v>
      </c>
      <c r="D247" s="9">
        <v>1</v>
      </c>
      <c r="E247" s="7" t="s">
        <v>725</v>
      </c>
      <c r="F247" s="7" t="s">
        <v>686</v>
      </c>
      <c r="G247" s="9">
        <v>0</v>
      </c>
    </row>
    <row r="248" spans="2:7" hidden="1" outlineLevel="1" x14ac:dyDescent="0.25">
      <c r="B248" s="7" t="s">
        <v>726</v>
      </c>
      <c r="C248" s="7" t="s">
        <v>223</v>
      </c>
      <c r="D248" s="9">
        <v>1</v>
      </c>
      <c r="E248" s="7" t="s">
        <v>727</v>
      </c>
      <c r="F248" s="7" t="s">
        <v>686</v>
      </c>
      <c r="G248" s="9">
        <v>0</v>
      </c>
    </row>
    <row r="249" spans="2:7" hidden="1" outlineLevel="1" x14ac:dyDescent="0.25">
      <c r="B249" s="7" t="s">
        <v>728</v>
      </c>
      <c r="C249" s="7" t="s">
        <v>224</v>
      </c>
      <c r="D249" s="9">
        <v>2</v>
      </c>
      <c r="E249" s="7" t="s">
        <v>729</v>
      </c>
      <c r="F249" s="7" t="s">
        <v>693</v>
      </c>
      <c r="G249" s="9">
        <v>1</v>
      </c>
    </row>
    <row r="250" spans="2:7" hidden="1" outlineLevel="1" x14ac:dyDescent="0.25">
      <c r="B250" s="7" t="s">
        <v>730</v>
      </c>
      <c r="C250" s="7" t="s">
        <v>225</v>
      </c>
      <c r="D250" s="9">
        <v>1</v>
      </c>
      <c r="E250" s="7" t="s">
        <v>731</v>
      </c>
      <c r="F250" s="7" t="s">
        <v>686</v>
      </c>
      <c r="G250" s="9">
        <v>0</v>
      </c>
    </row>
    <row r="251" spans="2:7" hidden="1" outlineLevel="1" x14ac:dyDescent="0.25">
      <c r="B251" s="7" t="s">
        <v>732</v>
      </c>
      <c r="C251" s="7" t="s">
        <v>226</v>
      </c>
      <c r="D251" s="9">
        <v>1</v>
      </c>
      <c r="E251" s="7" t="s">
        <v>733</v>
      </c>
      <c r="F251" s="7" t="s">
        <v>686</v>
      </c>
      <c r="G251" s="9">
        <v>0</v>
      </c>
    </row>
    <row r="252" spans="2:7" hidden="1" outlineLevel="1" x14ac:dyDescent="0.25">
      <c r="B252" s="7" t="s">
        <v>734</v>
      </c>
      <c r="C252" s="7" t="s">
        <v>227</v>
      </c>
      <c r="D252" s="9">
        <v>1</v>
      </c>
      <c r="E252" s="7" t="s">
        <v>735</v>
      </c>
      <c r="F252" s="7" t="s">
        <v>686</v>
      </c>
      <c r="G252" s="9">
        <v>0</v>
      </c>
    </row>
    <row r="253" spans="2:7" hidden="1" outlineLevel="1" x14ac:dyDescent="0.25">
      <c r="B253" s="7" t="s">
        <v>736</v>
      </c>
      <c r="C253" s="7" t="s">
        <v>228</v>
      </c>
      <c r="D253" s="9">
        <v>1</v>
      </c>
      <c r="E253" s="7" t="s">
        <v>737</v>
      </c>
      <c r="F253" s="7" t="s">
        <v>686</v>
      </c>
      <c r="G253" s="9">
        <v>0</v>
      </c>
    </row>
    <row r="254" spans="2:7" hidden="1" outlineLevel="1" x14ac:dyDescent="0.25">
      <c r="B254" s="7" t="s">
        <v>738</v>
      </c>
      <c r="C254" s="7" t="s">
        <v>229</v>
      </c>
      <c r="D254" s="9">
        <v>3</v>
      </c>
      <c r="E254" s="7" t="s">
        <v>739</v>
      </c>
      <c r="F254" s="7" t="s">
        <v>693</v>
      </c>
      <c r="G254" s="9">
        <v>2</v>
      </c>
    </row>
    <row r="255" spans="2:7" hidden="1" outlineLevel="1" x14ac:dyDescent="0.25">
      <c r="B255" s="7" t="s">
        <v>740</v>
      </c>
      <c r="C255" s="7" t="s">
        <v>230</v>
      </c>
      <c r="D255" s="9">
        <v>2</v>
      </c>
      <c r="E255" s="7" t="s">
        <v>741</v>
      </c>
      <c r="F255" s="7" t="s">
        <v>693</v>
      </c>
      <c r="G255" s="9">
        <v>1</v>
      </c>
    </row>
    <row r="256" spans="2:7" hidden="1" outlineLevel="1" x14ac:dyDescent="0.25">
      <c r="B256" s="7" t="s">
        <v>742</v>
      </c>
      <c r="C256" s="7" t="s">
        <v>231</v>
      </c>
      <c r="D256" s="9">
        <v>1</v>
      </c>
      <c r="E256" s="7" t="s">
        <v>743</v>
      </c>
      <c r="F256" s="7" t="s">
        <v>686</v>
      </c>
      <c r="G256" s="9">
        <v>0</v>
      </c>
    </row>
    <row r="257" spans="2:7" hidden="1" outlineLevel="1" x14ac:dyDescent="0.25">
      <c r="B257" s="7" t="s">
        <v>744</v>
      </c>
      <c r="C257" s="7" t="s">
        <v>232</v>
      </c>
      <c r="D257" s="9">
        <v>4</v>
      </c>
      <c r="E257" s="7" t="s">
        <v>745</v>
      </c>
      <c r="F257" s="7" t="s">
        <v>693</v>
      </c>
      <c r="G257" s="9">
        <v>3</v>
      </c>
    </row>
    <row r="258" spans="2:7" hidden="1" outlineLevel="1" x14ac:dyDescent="0.25">
      <c r="B258" s="7" t="s">
        <v>746</v>
      </c>
      <c r="C258" s="7" t="s">
        <v>233</v>
      </c>
      <c r="D258" s="9">
        <v>4</v>
      </c>
      <c r="E258" s="7" t="s">
        <v>747</v>
      </c>
      <c r="F258" s="7" t="s">
        <v>693</v>
      </c>
      <c r="G258" s="9">
        <v>3</v>
      </c>
    </row>
    <row r="259" spans="2:7" hidden="1" outlineLevel="1" x14ac:dyDescent="0.25">
      <c r="B259" s="7" t="s">
        <v>748</v>
      </c>
      <c r="C259" s="7" t="s">
        <v>234</v>
      </c>
      <c r="D259" s="9">
        <v>1</v>
      </c>
      <c r="E259" s="7" t="s">
        <v>749</v>
      </c>
      <c r="F259" s="7" t="s">
        <v>686</v>
      </c>
      <c r="G259" s="9">
        <v>0</v>
      </c>
    </row>
    <row r="260" spans="2:7" hidden="1" outlineLevel="1" x14ac:dyDescent="0.25">
      <c r="B260" s="7" t="s">
        <v>750</v>
      </c>
      <c r="C260" s="7" t="s">
        <v>235</v>
      </c>
      <c r="D260" s="9">
        <v>1</v>
      </c>
      <c r="E260" s="7" t="s">
        <v>751</v>
      </c>
      <c r="F260" s="7" t="s">
        <v>686</v>
      </c>
      <c r="G260" s="9">
        <v>0</v>
      </c>
    </row>
    <row r="261" spans="2:7" hidden="1" outlineLevel="1" x14ac:dyDescent="0.25">
      <c r="B261" s="7" t="s">
        <v>752</v>
      </c>
      <c r="C261" s="7" t="s">
        <v>236</v>
      </c>
      <c r="D261" s="9">
        <v>2</v>
      </c>
      <c r="E261" s="7" t="s">
        <v>753</v>
      </c>
      <c r="F261" s="7" t="s">
        <v>693</v>
      </c>
      <c r="G261" s="9">
        <v>1</v>
      </c>
    </row>
    <row r="262" spans="2:7" hidden="1" outlineLevel="1" x14ac:dyDescent="0.25">
      <c r="B262" s="7" t="s">
        <v>754</v>
      </c>
      <c r="C262" s="7" t="s">
        <v>237</v>
      </c>
      <c r="D262" s="9">
        <v>1</v>
      </c>
      <c r="E262" s="7" t="s">
        <v>755</v>
      </c>
      <c r="F262" s="7" t="s">
        <v>686</v>
      </c>
      <c r="G262" s="9">
        <v>0</v>
      </c>
    </row>
    <row r="263" spans="2:7" hidden="1" outlineLevel="1" x14ac:dyDescent="0.25">
      <c r="B263" s="7" t="s">
        <v>756</v>
      </c>
      <c r="C263" s="7" t="s">
        <v>238</v>
      </c>
      <c r="D263" s="9">
        <v>3</v>
      </c>
      <c r="E263" s="7" t="s">
        <v>757</v>
      </c>
      <c r="F263" s="7" t="s">
        <v>693</v>
      </c>
      <c r="G263" s="9">
        <v>2</v>
      </c>
    </row>
    <row r="264" spans="2:7" hidden="1" outlineLevel="1" x14ac:dyDescent="0.25">
      <c r="B264" s="7" t="s">
        <v>758</v>
      </c>
      <c r="C264" s="7" t="s">
        <v>239</v>
      </c>
      <c r="D264" s="9">
        <v>1</v>
      </c>
      <c r="E264" s="7" t="s">
        <v>759</v>
      </c>
      <c r="F264" s="7" t="s">
        <v>686</v>
      </c>
      <c r="G264" s="9">
        <v>0</v>
      </c>
    </row>
    <row r="265" spans="2:7" hidden="1" outlineLevel="1" x14ac:dyDescent="0.25">
      <c r="B265" s="7" t="s">
        <v>760</v>
      </c>
      <c r="C265" s="7" t="s">
        <v>240</v>
      </c>
      <c r="D265" s="9">
        <v>1</v>
      </c>
      <c r="E265" s="7" t="s">
        <v>761</v>
      </c>
      <c r="F265" s="7" t="s">
        <v>686</v>
      </c>
      <c r="G265" s="9">
        <v>0</v>
      </c>
    </row>
    <row r="266" spans="2:7" hidden="1" outlineLevel="1" x14ac:dyDescent="0.25">
      <c r="B266" s="7" t="s">
        <v>762</v>
      </c>
      <c r="C266" s="7" t="s">
        <v>241</v>
      </c>
      <c r="D266" s="9">
        <v>1</v>
      </c>
      <c r="E266" s="7" t="s">
        <v>763</v>
      </c>
      <c r="F266" s="7" t="s">
        <v>686</v>
      </c>
      <c r="G266" s="9">
        <v>0</v>
      </c>
    </row>
    <row r="267" spans="2:7" hidden="1" outlineLevel="1" x14ac:dyDescent="0.25">
      <c r="B267" s="7" t="s">
        <v>764</v>
      </c>
      <c r="C267" s="7" t="s">
        <v>242</v>
      </c>
      <c r="D267" s="9">
        <v>1</v>
      </c>
      <c r="E267" s="7" t="s">
        <v>765</v>
      </c>
      <c r="F267" s="7" t="s">
        <v>686</v>
      </c>
      <c r="G267" s="9">
        <v>0</v>
      </c>
    </row>
    <row r="268" spans="2:7" hidden="1" outlineLevel="1" x14ac:dyDescent="0.25">
      <c r="B268" s="7" t="s">
        <v>766</v>
      </c>
      <c r="C268" s="7" t="s">
        <v>243</v>
      </c>
      <c r="D268" s="9">
        <v>1</v>
      </c>
      <c r="E268" s="7" t="s">
        <v>767</v>
      </c>
      <c r="F268" s="7" t="s">
        <v>686</v>
      </c>
      <c r="G268" s="9">
        <v>0</v>
      </c>
    </row>
    <row r="269" spans="2:7" hidden="1" outlineLevel="1" x14ac:dyDescent="0.25">
      <c r="B269" s="7" t="s">
        <v>768</v>
      </c>
      <c r="C269" s="7" t="s">
        <v>244</v>
      </c>
      <c r="D269" s="9">
        <v>1</v>
      </c>
      <c r="E269" s="7" t="s">
        <v>769</v>
      </c>
      <c r="F269" s="7" t="s">
        <v>686</v>
      </c>
      <c r="G269" s="9">
        <v>0</v>
      </c>
    </row>
    <row r="270" spans="2:7" hidden="1" outlineLevel="1" x14ac:dyDescent="0.25">
      <c r="B270" s="7" t="s">
        <v>770</v>
      </c>
      <c r="C270" s="7" t="s">
        <v>245</v>
      </c>
      <c r="D270" s="9">
        <v>3</v>
      </c>
      <c r="E270" s="7" t="s">
        <v>771</v>
      </c>
      <c r="F270" s="7" t="s">
        <v>693</v>
      </c>
      <c r="G270" s="9">
        <v>2</v>
      </c>
    </row>
    <row r="271" spans="2:7" hidden="1" outlineLevel="1" x14ac:dyDescent="0.25">
      <c r="B271" s="7" t="s">
        <v>772</v>
      </c>
      <c r="C271" s="7" t="s">
        <v>246</v>
      </c>
      <c r="D271" s="9">
        <v>1</v>
      </c>
      <c r="E271" s="7" t="s">
        <v>773</v>
      </c>
      <c r="F271" s="7" t="s">
        <v>686</v>
      </c>
      <c r="G271" s="9">
        <v>0</v>
      </c>
    </row>
    <row r="272" spans="2:7" hidden="1" outlineLevel="1" x14ac:dyDescent="0.25">
      <c r="B272" s="7" t="s">
        <v>774</v>
      </c>
      <c r="C272" s="7" t="s">
        <v>247</v>
      </c>
      <c r="D272" s="9">
        <v>2</v>
      </c>
      <c r="E272" s="7" t="s">
        <v>775</v>
      </c>
      <c r="F272" s="7" t="s">
        <v>693</v>
      </c>
      <c r="G272" s="9">
        <v>1</v>
      </c>
    </row>
    <row r="273" spans="2:7" hidden="1" outlineLevel="1" x14ac:dyDescent="0.25">
      <c r="B273" s="7" t="s">
        <v>776</v>
      </c>
      <c r="C273" s="7" t="s">
        <v>248</v>
      </c>
      <c r="D273" s="9">
        <v>1</v>
      </c>
      <c r="E273" s="7" t="s">
        <v>777</v>
      </c>
      <c r="F273" s="7" t="s">
        <v>686</v>
      </c>
      <c r="G273" s="9">
        <v>0</v>
      </c>
    </row>
    <row r="274" spans="2:7" hidden="1" outlineLevel="1" x14ac:dyDescent="0.25">
      <c r="B274" s="7" t="s">
        <v>778</v>
      </c>
      <c r="C274" s="7" t="s">
        <v>249</v>
      </c>
      <c r="D274" s="9">
        <v>1</v>
      </c>
      <c r="E274" s="7" t="s">
        <v>779</v>
      </c>
      <c r="F274" s="7" t="s">
        <v>686</v>
      </c>
      <c r="G274" s="9">
        <v>0</v>
      </c>
    </row>
    <row r="275" spans="2:7" hidden="1" outlineLevel="1" x14ac:dyDescent="0.25">
      <c r="B275" s="7" t="s">
        <v>780</v>
      </c>
      <c r="C275" s="7" t="s">
        <v>250</v>
      </c>
      <c r="D275" s="9">
        <v>1</v>
      </c>
      <c r="E275" s="7" t="s">
        <v>781</v>
      </c>
      <c r="F275" s="7" t="s">
        <v>686</v>
      </c>
      <c r="G275" s="9">
        <v>0</v>
      </c>
    </row>
    <row r="276" spans="2:7" hidden="1" outlineLevel="1" x14ac:dyDescent="0.25">
      <c r="B276" s="7" t="s">
        <v>782</v>
      </c>
      <c r="C276" s="7" t="s">
        <v>251</v>
      </c>
      <c r="D276" s="9">
        <v>1</v>
      </c>
      <c r="E276" s="7" t="s">
        <v>783</v>
      </c>
      <c r="F276" s="7" t="s">
        <v>686</v>
      </c>
      <c r="G276" s="9">
        <v>0</v>
      </c>
    </row>
    <row r="277" spans="2:7" hidden="1" outlineLevel="1" x14ac:dyDescent="0.25">
      <c r="B277" s="7" t="s">
        <v>784</v>
      </c>
      <c r="C277" s="7" t="s">
        <v>252</v>
      </c>
      <c r="D277" s="9">
        <v>1</v>
      </c>
      <c r="E277" s="7" t="s">
        <v>785</v>
      </c>
      <c r="F277" s="7" t="s">
        <v>686</v>
      </c>
      <c r="G277" s="9">
        <v>0</v>
      </c>
    </row>
    <row r="278" spans="2:7" collapsed="1" x14ac:dyDescent="0.25">
      <c r="B278" s="7"/>
      <c r="C278" s="7"/>
      <c r="D278" s="9"/>
      <c r="E278" s="7"/>
      <c r="F278" s="7"/>
      <c r="G278" s="9"/>
    </row>
    <row r="279" spans="2:7" x14ac:dyDescent="0.25">
      <c r="B279" s="13" t="s">
        <v>1389</v>
      </c>
      <c r="C279" s="7"/>
      <c r="D279" s="9"/>
      <c r="E279" s="7"/>
      <c r="F279" s="7"/>
      <c r="G279" s="9"/>
    </row>
    <row r="280" spans="2:7" hidden="1" outlineLevel="1" x14ac:dyDescent="0.25">
      <c r="B280" s="7" t="s">
        <v>284</v>
      </c>
      <c r="C280" s="7" t="s">
        <v>285</v>
      </c>
      <c r="D280" s="9">
        <v>0</v>
      </c>
      <c r="E280" s="7" t="s">
        <v>786</v>
      </c>
      <c r="F280" s="7" t="s">
        <v>686</v>
      </c>
      <c r="G280" s="9">
        <v>0</v>
      </c>
    </row>
    <row r="281" spans="2:7" hidden="1" outlineLevel="1" x14ac:dyDescent="0.25">
      <c r="B281" s="7" t="s">
        <v>286</v>
      </c>
      <c r="C281" s="7" t="s">
        <v>287</v>
      </c>
      <c r="D281" s="9">
        <v>0</v>
      </c>
      <c r="E281" s="7" t="s">
        <v>787</v>
      </c>
      <c r="F281" s="7" t="s">
        <v>686</v>
      </c>
      <c r="G281" s="9">
        <v>0</v>
      </c>
    </row>
    <row r="282" spans="2:7" hidden="1" outlineLevel="1" x14ac:dyDescent="0.25">
      <c r="B282" s="7" t="s">
        <v>288</v>
      </c>
      <c r="C282" s="7" t="s">
        <v>289</v>
      </c>
      <c r="D282" s="9">
        <v>1</v>
      </c>
      <c r="E282" s="7" t="s">
        <v>788</v>
      </c>
      <c r="F282" s="7" t="s">
        <v>693</v>
      </c>
      <c r="G282" s="9">
        <v>1</v>
      </c>
    </row>
    <row r="283" spans="2:7" hidden="1" outlineLevel="1" x14ac:dyDescent="0.25">
      <c r="B283" s="7" t="s">
        <v>290</v>
      </c>
      <c r="C283" s="7" t="s">
        <v>291</v>
      </c>
      <c r="D283" s="9">
        <v>0</v>
      </c>
      <c r="E283" s="7" t="s">
        <v>789</v>
      </c>
      <c r="F283" s="7" t="s">
        <v>686</v>
      </c>
      <c r="G283" s="9">
        <v>0</v>
      </c>
    </row>
    <row r="284" spans="2:7" hidden="1" outlineLevel="1" x14ac:dyDescent="0.25">
      <c r="B284" s="7" t="s">
        <v>292</v>
      </c>
      <c r="C284" s="7" t="s">
        <v>293</v>
      </c>
      <c r="D284" s="9">
        <v>0</v>
      </c>
      <c r="E284" s="7" t="s">
        <v>790</v>
      </c>
      <c r="F284" s="7" t="s">
        <v>686</v>
      </c>
      <c r="G284" s="9">
        <v>0</v>
      </c>
    </row>
    <row r="285" spans="2:7" hidden="1" outlineLevel="1" x14ac:dyDescent="0.25">
      <c r="B285" s="7" t="s">
        <v>294</v>
      </c>
      <c r="C285" s="7" t="s">
        <v>295</v>
      </c>
      <c r="D285" s="9">
        <v>0</v>
      </c>
      <c r="E285" s="7" t="s">
        <v>791</v>
      </c>
      <c r="F285" s="7" t="s">
        <v>686</v>
      </c>
      <c r="G285" s="9">
        <v>0</v>
      </c>
    </row>
    <row r="286" spans="2:7" hidden="1" outlineLevel="1" x14ac:dyDescent="0.25">
      <c r="B286" s="7" t="s">
        <v>296</v>
      </c>
      <c r="C286" s="7" t="s">
        <v>297</v>
      </c>
      <c r="D286" s="9">
        <v>0</v>
      </c>
      <c r="E286" s="7" t="s">
        <v>792</v>
      </c>
      <c r="F286" s="7" t="s">
        <v>686</v>
      </c>
      <c r="G286" s="9">
        <v>0</v>
      </c>
    </row>
    <row r="287" spans="2:7" hidden="1" outlineLevel="1" x14ac:dyDescent="0.25">
      <c r="B287" s="7" t="s">
        <v>298</v>
      </c>
      <c r="C287" s="7" t="s">
        <v>299</v>
      </c>
      <c r="D287" s="9">
        <v>0</v>
      </c>
      <c r="E287" s="7" t="s">
        <v>793</v>
      </c>
      <c r="F287" s="7" t="s">
        <v>686</v>
      </c>
      <c r="G287" s="9">
        <v>0</v>
      </c>
    </row>
    <row r="288" spans="2:7" hidden="1" outlineLevel="1" x14ac:dyDescent="0.25">
      <c r="B288" s="7" t="s">
        <v>300</v>
      </c>
      <c r="C288" s="7" t="s">
        <v>301</v>
      </c>
      <c r="D288" s="9">
        <v>0</v>
      </c>
      <c r="E288" s="7" t="s">
        <v>794</v>
      </c>
      <c r="F288" s="7" t="s">
        <v>686</v>
      </c>
      <c r="G288" s="9">
        <v>0</v>
      </c>
    </row>
    <row r="289" spans="2:7" hidden="1" outlineLevel="1" x14ac:dyDescent="0.25">
      <c r="B289" s="7" t="s">
        <v>302</v>
      </c>
      <c r="C289" s="7" t="s">
        <v>303</v>
      </c>
      <c r="D289" s="9">
        <v>1</v>
      </c>
      <c r="E289" s="7" t="s">
        <v>795</v>
      </c>
      <c r="F289" s="7" t="s">
        <v>693</v>
      </c>
      <c r="G289" s="9">
        <v>1</v>
      </c>
    </row>
    <row r="290" spans="2:7" hidden="1" outlineLevel="1" x14ac:dyDescent="0.25">
      <c r="B290" s="7" t="s">
        <v>304</v>
      </c>
      <c r="C290" s="7" t="s">
        <v>305</v>
      </c>
      <c r="D290" s="9">
        <v>0</v>
      </c>
      <c r="E290" s="7" t="s">
        <v>796</v>
      </c>
      <c r="F290" s="7" t="s">
        <v>686</v>
      </c>
      <c r="G290" s="9">
        <v>0</v>
      </c>
    </row>
    <row r="291" spans="2:7" hidden="1" outlineLevel="1" x14ac:dyDescent="0.25">
      <c r="B291" s="7" t="s">
        <v>306</v>
      </c>
      <c r="C291" s="7" t="s">
        <v>307</v>
      </c>
      <c r="D291" s="9">
        <v>0</v>
      </c>
      <c r="E291" s="7" t="s">
        <v>797</v>
      </c>
      <c r="F291" s="7" t="s">
        <v>686</v>
      </c>
      <c r="G291" s="9">
        <v>0</v>
      </c>
    </row>
    <row r="292" spans="2:7" hidden="1" outlineLevel="1" x14ac:dyDescent="0.25">
      <c r="B292" s="7" t="s">
        <v>308</v>
      </c>
      <c r="C292" s="7" t="s">
        <v>309</v>
      </c>
      <c r="D292" s="9">
        <v>0</v>
      </c>
      <c r="E292" s="7" t="s">
        <v>798</v>
      </c>
      <c r="F292" s="7" t="s">
        <v>686</v>
      </c>
      <c r="G292" s="9">
        <v>0</v>
      </c>
    </row>
    <row r="293" spans="2:7" hidden="1" outlineLevel="1" x14ac:dyDescent="0.25">
      <c r="B293" s="7" t="s">
        <v>310</v>
      </c>
      <c r="C293" s="7" t="s">
        <v>311</v>
      </c>
      <c r="D293" s="9">
        <v>1</v>
      </c>
      <c r="E293" s="7" t="s">
        <v>799</v>
      </c>
      <c r="F293" s="7" t="s">
        <v>693</v>
      </c>
      <c r="G293" s="9">
        <v>1</v>
      </c>
    </row>
    <row r="294" spans="2:7" hidden="1" outlineLevel="1" x14ac:dyDescent="0.25">
      <c r="B294" s="7" t="s">
        <v>312</v>
      </c>
      <c r="C294" s="7" t="s">
        <v>313</v>
      </c>
      <c r="D294" s="9">
        <v>0</v>
      </c>
      <c r="E294" s="7" t="s">
        <v>800</v>
      </c>
      <c r="F294" s="7" t="s">
        <v>686</v>
      </c>
      <c r="G294" s="9">
        <v>0</v>
      </c>
    </row>
    <row r="295" spans="2:7" hidden="1" outlineLevel="1" x14ac:dyDescent="0.25">
      <c r="B295" s="7" t="s">
        <v>314</v>
      </c>
      <c r="C295" s="7" t="s">
        <v>315</v>
      </c>
      <c r="D295" s="9">
        <v>0</v>
      </c>
      <c r="E295" s="7" t="s">
        <v>801</v>
      </c>
      <c r="F295" s="7" t="s">
        <v>686</v>
      </c>
      <c r="G295" s="9">
        <v>0</v>
      </c>
    </row>
    <row r="296" spans="2:7" hidden="1" outlineLevel="1" x14ac:dyDescent="0.25">
      <c r="B296" s="7" t="s">
        <v>316</v>
      </c>
      <c r="C296" s="7" t="s">
        <v>317</v>
      </c>
      <c r="D296" s="9">
        <v>1</v>
      </c>
      <c r="E296" s="7" t="s">
        <v>802</v>
      </c>
      <c r="F296" s="7" t="s">
        <v>693</v>
      </c>
      <c r="G296" s="9">
        <v>1</v>
      </c>
    </row>
    <row r="297" spans="2:7" hidden="1" outlineLevel="1" x14ac:dyDescent="0.25">
      <c r="B297" s="7" t="s">
        <v>318</v>
      </c>
      <c r="C297" s="7" t="s">
        <v>319</v>
      </c>
      <c r="D297" s="9">
        <v>0</v>
      </c>
      <c r="E297" s="7" t="s">
        <v>803</v>
      </c>
      <c r="F297" s="7" t="s">
        <v>686</v>
      </c>
      <c r="G297" s="9">
        <v>0</v>
      </c>
    </row>
    <row r="298" spans="2:7" hidden="1" outlineLevel="1" x14ac:dyDescent="0.25">
      <c r="B298" s="7" t="s">
        <v>320</v>
      </c>
      <c r="C298" s="7" t="s">
        <v>321</v>
      </c>
      <c r="D298" s="9">
        <v>0</v>
      </c>
      <c r="E298" s="7" t="s">
        <v>804</v>
      </c>
      <c r="F298" s="7" t="s">
        <v>686</v>
      </c>
      <c r="G298" s="9">
        <v>0</v>
      </c>
    </row>
    <row r="299" spans="2:7" hidden="1" outlineLevel="1" x14ac:dyDescent="0.25">
      <c r="B299" s="7" t="s">
        <v>322</v>
      </c>
      <c r="C299" s="7" t="s">
        <v>323</v>
      </c>
      <c r="D299" s="9">
        <v>0</v>
      </c>
      <c r="E299" s="7" t="s">
        <v>805</v>
      </c>
      <c r="F299" s="7" t="s">
        <v>686</v>
      </c>
      <c r="G299" s="9">
        <v>0</v>
      </c>
    </row>
    <row r="300" spans="2:7" hidden="1" outlineLevel="1" x14ac:dyDescent="0.25">
      <c r="B300" s="7" t="s">
        <v>324</v>
      </c>
      <c r="C300" s="7" t="s">
        <v>325</v>
      </c>
      <c r="D300" s="9">
        <v>0</v>
      </c>
      <c r="E300" s="7" t="s">
        <v>806</v>
      </c>
      <c r="F300" s="7" t="s">
        <v>686</v>
      </c>
      <c r="G300" s="9">
        <v>0</v>
      </c>
    </row>
    <row r="301" spans="2:7" hidden="1" outlineLevel="1" x14ac:dyDescent="0.25">
      <c r="B301" s="7" t="s">
        <v>326</v>
      </c>
      <c r="C301" s="7" t="s">
        <v>327</v>
      </c>
      <c r="D301" s="9">
        <v>0</v>
      </c>
      <c r="E301" s="7" t="s">
        <v>807</v>
      </c>
      <c r="F301" s="7" t="s">
        <v>686</v>
      </c>
      <c r="G301" s="9">
        <v>0</v>
      </c>
    </row>
    <row r="302" spans="2:7" hidden="1" outlineLevel="1" x14ac:dyDescent="0.25">
      <c r="B302" s="7" t="s">
        <v>328</v>
      </c>
      <c r="C302" s="7" t="s">
        <v>329</v>
      </c>
      <c r="D302" s="9">
        <v>0</v>
      </c>
      <c r="E302" s="7" t="s">
        <v>808</v>
      </c>
      <c r="F302" s="7" t="s">
        <v>686</v>
      </c>
      <c r="G302" s="9">
        <v>0</v>
      </c>
    </row>
    <row r="303" spans="2:7" hidden="1" outlineLevel="1" x14ac:dyDescent="0.25">
      <c r="B303" s="7" t="s">
        <v>330</v>
      </c>
      <c r="C303" s="7" t="s">
        <v>331</v>
      </c>
      <c r="D303" s="9">
        <v>0</v>
      </c>
      <c r="E303" s="7" t="s">
        <v>809</v>
      </c>
      <c r="F303" s="7" t="s">
        <v>686</v>
      </c>
      <c r="G303" s="9">
        <v>0</v>
      </c>
    </row>
    <row r="304" spans="2:7" hidden="1" outlineLevel="1" x14ac:dyDescent="0.25">
      <c r="B304" s="7" t="s">
        <v>332</v>
      </c>
      <c r="C304" s="7" t="s">
        <v>333</v>
      </c>
      <c r="D304" s="9">
        <v>0</v>
      </c>
      <c r="E304" s="7" t="s">
        <v>810</v>
      </c>
      <c r="F304" s="7" t="s">
        <v>686</v>
      </c>
      <c r="G304" s="9">
        <v>0</v>
      </c>
    </row>
    <row r="305" spans="2:7" hidden="1" outlineLevel="1" x14ac:dyDescent="0.25">
      <c r="B305" s="7" t="s">
        <v>334</v>
      </c>
      <c r="C305" s="7" t="s">
        <v>335</v>
      </c>
      <c r="D305" s="9">
        <v>0</v>
      </c>
      <c r="E305" s="7" t="s">
        <v>811</v>
      </c>
      <c r="F305" s="7" t="s">
        <v>686</v>
      </c>
      <c r="G305" s="9">
        <v>0</v>
      </c>
    </row>
    <row r="306" spans="2:7" hidden="1" outlineLevel="1" x14ac:dyDescent="0.25">
      <c r="B306" s="7" t="s">
        <v>336</v>
      </c>
      <c r="C306" s="7" t="s">
        <v>337</v>
      </c>
      <c r="D306" s="9">
        <v>0</v>
      </c>
      <c r="E306" s="7" t="s">
        <v>812</v>
      </c>
      <c r="F306" s="7" t="s">
        <v>686</v>
      </c>
      <c r="G306" s="9">
        <v>0</v>
      </c>
    </row>
    <row r="307" spans="2:7" hidden="1" outlineLevel="1" x14ac:dyDescent="0.25">
      <c r="B307" s="7" t="s">
        <v>338</v>
      </c>
      <c r="C307" s="7" t="s">
        <v>339</v>
      </c>
      <c r="D307" s="9">
        <v>0</v>
      </c>
      <c r="E307" s="7" t="s">
        <v>813</v>
      </c>
      <c r="F307" s="7" t="s">
        <v>686</v>
      </c>
      <c r="G307" s="9">
        <v>0</v>
      </c>
    </row>
    <row r="308" spans="2:7" hidden="1" outlineLevel="1" x14ac:dyDescent="0.25">
      <c r="B308" s="7" t="s">
        <v>340</v>
      </c>
      <c r="C308" s="7" t="s">
        <v>341</v>
      </c>
      <c r="D308" s="9">
        <v>0</v>
      </c>
      <c r="E308" s="7" t="s">
        <v>814</v>
      </c>
      <c r="F308" s="7" t="s">
        <v>686</v>
      </c>
      <c r="G308" s="9">
        <v>0</v>
      </c>
    </row>
    <row r="309" spans="2:7" hidden="1" outlineLevel="1" x14ac:dyDescent="0.25">
      <c r="B309" s="7" t="s">
        <v>342</v>
      </c>
      <c r="C309" s="7" t="s">
        <v>343</v>
      </c>
      <c r="D309" s="9">
        <v>0</v>
      </c>
      <c r="E309" s="7" t="s">
        <v>815</v>
      </c>
      <c r="F309" s="7" t="s">
        <v>686</v>
      </c>
      <c r="G309" s="9">
        <v>0</v>
      </c>
    </row>
    <row r="310" spans="2:7" hidden="1" outlineLevel="1" x14ac:dyDescent="0.25">
      <c r="B310" s="7" t="s">
        <v>344</v>
      </c>
      <c r="C310" s="7" t="s">
        <v>345</v>
      </c>
      <c r="D310" s="9">
        <v>0</v>
      </c>
      <c r="E310" s="7" t="s">
        <v>816</v>
      </c>
      <c r="F310" s="7" t="s">
        <v>686</v>
      </c>
      <c r="G310" s="9">
        <v>0</v>
      </c>
    </row>
    <row r="311" spans="2:7" hidden="1" outlineLevel="1" x14ac:dyDescent="0.25">
      <c r="B311" s="7" t="s">
        <v>346</v>
      </c>
      <c r="C311" s="7" t="s">
        <v>347</v>
      </c>
      <c r="D311" s="9">
        <v>0</v>
      </c>
      <c r="E311" s="7" t="s">
        <v>817</v>
      </c>
      <c r="F311" s="7" t="s">
        <v>686</v>
      </c>
      <c r="G311" s="9">
        <v>0</v>
      </c>
    </row>
    <row r="312" spans="2:7" hidden="1" outlineLevel="1" x14ac:dyDescent="0.25">
      <c r="B312" s="7" t="s">
        <v>348</v>
      </c>
      <c r="C312" s="7" t="s">
        <v>349</v>
      </c>
      <c r="D312" s="9">
        <v>0</v>
      </c>
      <c r="E312" s="7" t="s">
        <v>818</v>
      </c>
      <c r="F312" s="7" t="s">
        <v>686</v>
      </c>
      <c r="G312" s="9">
        <v>0</v>
      </c>
    </row>
    <row r="313" spans="2:7" hidden="1" outlineLevel="1" x14ac:dyDescent="0.25">
      <c r="B313" s="7" t="s">
        <v>350</v>
      </c>
      <c r="C313" s="7" t="s">
        <v>351</v>
      </c>
      <c r="D313" s="9">
        <v>0</v>
      </c>
      <c r="E313" s="7" t="s">
        <v>819</v>
      </c>
      <c r="F313" s="7" t="s">
        <v>686</v>
      </c>
      <c r="G313" s="9">
        <v>0</v>
      </c>
    </row>
    <row r="314" spans="2:7" hidden="1" outlineLevel="1" x14ac:dyDescent="0.25">
      <c r="B314" s="7" t="s">
        <v>352</v>
      </c>
      <c r="C314" s="7" t="s">
        <v>353</v>
      </c>
      <c r="D314" s="9">
        <v>0</v>
      </c>
      <c r="E314" s="7" t="s">
        <v>820</v>
      </c>
      <c r="F314" s="7" t="s">
        <v>686</v>
      </c>
      <c r="G314" s="9">
        <v>0</v>
      </c>
    </row>
    <row r="315" spans="2:7" hidden="1" outlineLevel="1" x14ac:dyDescent="0.25">
      <c r="B315" s="7" t="s">
        <v>354</v>
      </c>
      <c r="C315" s="7" t="s">
        <v>355</v>
      </c>
      <c r="D315" s="9">
        <v>0</v>
      </c>
      <c r="E315" s="7" t="s">
        <v>821</v>
      </c>
      <c r="F315" s="7" t="s">
        <v>686</v>
      </c>
      <c r="G315" s="9">
        <v>0</v>
      </c>
    </row>
    <row r="316" spans="2:7" hidden="1" outlineLevel="1" x14ac:dyDescent="0.25">
      <c r="B316" s="7" t="s">
        <v>356</v>
      </c>
      <c r="C316" s="7" t="s">
        <v>357</v>
      </c>
      <c r="D316" s="9">
        <v>0</v>
      </c>
      <c r="E316" s="7" t="s">
        <v>822</v>
      </c>
      <c r="F316" s="7" t="s">
        <v>686</v>
      </c>
      <c r="G316" s="9">
        <v>0</v>
      </c>
    </row>
    <row r="317" spans="2:7" hidden="1" outlineLevel="1" x14ac:dyDescent="0.25">
      <c r="B317" s="7" t="s">
        <v>358</v>
      </c>
      <c r="C317" s="7" t="s">
        <v>359</v>
      </c>
      <c r="D317" s="9">
        <v>0</v>
      </c>
      <c r="E317" s="7" t="s">
        <v>823</v>
      </c>
      <c r="F317" s="7" t="s">
        <v>686</v>
      </c>
      <c r="G317" s="9">
        <v>0</v>
      </c>
    </row>
    <row r="318" spans="2:7" hidden="1" outlineLevel="1" x14ac:dyDescent="0.25">
      <c r="B318" s="7" t="s">
        <v>360</v>
      </c>
      <c r="C318" s="7" t="s">
        <v>361</v>
      </c>
      <c r="D318" s="9">
        <v>0</v>
      </c>
      <c r="E318" s="7" t="s">
        <v>824</v>
      </c>
      <c r="F318" s="7" t="s">
        <v>686</v>
      </c>
      <c r="G318" s="9">
        <v>0</v>
      </c>
    </row>
    <row r="319" spans="2:7" hidden="1" outlineLevel="1" x14ac:dyDescent="0.25">
      <c r="B319" s="7" t="s">
        <v>362</v>
      </c>
      <c r="C319" s="7" t="s">
        <v>363</v>
      </c>
      <c r="D319" s="9">
        <v>0</v>
      </c>
      <c r="E319" s="7" t="s">
        <v>825</v>
      </c>
      <c r="F319" s="7" t="s">
        <v>686</v>
      </c>
      <c r="G319" s="9">
        <v>0</v>
      </c>
    </row>
    <row r="320" spans="2:7" hidden="1" outlineLevel="1" x14ac:dyDescent="0.25">
      <c r="B320" s="7" t="s">
        <v>364</v>
      </c>
      <c r="C320" s="7" t="s">
        <v>365</v>
      </c>
      <c r="D320" s="9">
        <v>0</v>
      </c>
      <c r="E320" s="7" t="s">
        <v>826</v>
      </c>
      <c r="F320" s="7" t="s">
        <v>686</v>
      </c>
      <c r="G320" s="9">
        <v>0</v>
      </c>
    </row>
    <row r="321" spans="2:7" hidden="1" outlineLevel="1" x14ac:dyDescent="0.25">
      <c r="B321" s="7" t="s">
        <v>366</v>
      </c>
      <c r="C321" s="7" t="s">
        <v>367</v>
      </c>
      <c r="D321" s="9">
        <v>0</v>
      </c>
      <c r="E321" s="7" t="s">
        <v>827</v>
      </c>
      <c r="F321" s="7" t="s">
        <v>686</v>
      </c>
      <c r="G321" s="9">
        <v>0</v>
      </c>
    </row>
    <row r="322" spans="2:7" hidden="1" outlineLevel="1" x14ac:dyDescent="0.25">
      <c r="B322" s="7" t="s">
        <v>368</v>
      </c>
      <c r="C322" s="7" t="s">
        <v>369</v>
      </c>
      <c r="D322" s="9">
        <v>0</v>
      </c>
      <c r="E322" s="7" t="s">
        <v>828</v>
      </c>
      <c r="F322" s="7" t="s">
        <v>686</v>
      </c>
      <c r="G322" s="9">
        <v>0</v>
      </c>
    </row>
    <row r="323" spans="2:7" hidden="1" outlineLevel="1" x14ac:dyDescent="0.25">
      <c r="B323" s="7" t="s">
        <v>370</v>
      </c>
      <c r="C323" s="7" t="s">
        <v>371</v>
      </c>
      <c r="D323" s="9">
        <v>0</v>
      </c>
      <c r="E323" s="7" t="s">
        <v>829</v>
      </c>
      <c r="F323" s="7" t="s">
        <v>686</v>
      </c>
      <c r="G323" s="9">
        <v>0</v>
      </c>
    </row>
    <row r="324" spans="2:7" hidden="1" outlineLevel="1" x14ac:dyDescent="0.25">
      <c r="B324" s="7" t="s">
        <v>372</v>
      </c>
      <c r="C324" s="7" t="s">
        <v>373</v>
      </c>
      <c r="D324" s="9">
        <v>0</v>
      </c>
      <c r="E324" s="7" t="s">
        <v>830</v>
      </c>
      <c r="F324" s="7" t="s">
        <v>686</v>
      </c>
      <c r="G324" s="9">
        <v>0</v>
      </c>
    </row>
    <row r="325" spans="2:7" hidden="1" outlineLevel="1" x14ac:dyDescent="0.25">
      <c r="B325" s="7" t="s">
        <v>374</v>
      </c>
      <c r="C325" s="7" t="s">
        <v>375</v>
      </c>
      <c r="D325" s="9">
        <v>0</v>
      </c>
      <c r="E325" s="7" t="s">
        <v>831</v>
      </c>
      <c r="F325" s="7" t="s">
        <v>686</v>
      </c>
      <c r="G325" s="9">
        <v>0</v>
      </c>
    </row>
    <row r="326" spans="2:7" hidden="1" outlineLevel="1" x14ac:dyDescent="0.25">
      <c r="B326" s="7" t="s">
        <v>376</v>
      </c>
      <c r="C326" s="7" t="s">
        <v>377</v>
      </c>
      <c r="D326" s="9">
        <v>0</v>
      </c>
      <c r="E326" s="7" t="s">
        <v>832</v>
      </c>
      <c r="F326" s="7" t="s">
        <v>686</v>
      </c>
      <c r="G326" s="9">
        <v>0</v>
      </c>
    </row>
    <row r="327" spans="2:7" hidden="1" outlineLevel="1" x14ac:dyDescent="0.25">
      <c r="B327" s="7" t="s">
        <v>378</v>
      </c>
      <c r="C327" s="7" t="s">
        <v>379</v>
      </c>
      <c r="D327" s="9">
        <v>0</v>
      </c>
      <c r="E327" s="7" t="s">
        <v>833</v>
      </c>
      <c r="F327" s="7" t="s">
        <v>686</v>
      </c>
      <c r="G327" s="9">
        <v>0</v>
      </c>
    </row>
    <row r="328" spans="2:7" hidden="1" outlineLevel="1" x14ac:dyDescent="0.25">
      <c r="B328" s="7" t="s">
        <v>380</v>
      </c>
      <c r="C328" s="7" t="s">
        <v>381</v>
      </c>
      <c r="D328" s="9">
        <v>0</v>
      </c>
      <c r="E328" s="7" t="s">
        <v>834</v>
      </c>
      <c r="F328" s="7" t="s">
        <v>686</v>
      </c>
      <c r="G328" s="9">
        <v>0</v>
      </c>
    </row>
    <row r="329" spans="2:7" hidden="1" outlineLevel="1" x14ac:dyDescent="0.25">
      <c r="B329" s="7" t="s">
        <v>382</v>
      </c>
      <c r="C329" s="7" t="s">
        <v>383</v>
      </c>
      <c r="D329" s="9">
        <v>0</v>
      </c>
      <c r="E329" s="7" t="s">
        <v>835</v>
      </c>
      <c r="F329" s="7" t="s">
        <v>686</v>
      </c>
      <c r="G329" s="9">
        <v>0</v>
      </c>
    </row>
    <row r="330" spans="2:7" hidden="1" outlineLevel="1" x14ac:dyDescent="0.25">
      <c r="B330" s="7" t="s">
        <v>384</v>
      </c>
      <c r="C330" s="7" t="s">
        <v>385</v>
      </c>
      <c r="D330" s="9">
        <v>0</v>
      </c>
      <c r="E330" s="7" t="s">
        <v>836</v>
      </c>
      <c r="F330" s="7" t="s">
        <v>686</v>
      </c>
      <c r="G330" s="9">
        <v>0</v>
      </c>
    </row>
    <row r="331" spans="2:7" hidden="1" outlineLevel="1" x14ac:dyDescent="0.25">
      <c r="B331" s="7" t="s">
        <v>386</v>
      </c>
      <c r="C331" s="7" t="s">
        <v>387</v>
      </c>
      <c r="D331" s="9">
        <v>0</v>
      </c>
      <c r="E331" s="7" t="s">
        <v>837</v>
      </c>
      <c r="F331" s="7" t="s">
        <v>686</v>
      </c>
      <c r="G331" s="9">
        <v>0</v>
      </c>
    </row>
    <row r="332" spans="2:7" hidden="1" outlineLevel="1" x14ac:dyDescent="0.25">
      <c r="B332" s="7" t="s">
        <v>388</v>
      </c>
      <c r="C332" s="7" t="s">
        <v>389</v>
      </c>
      <c r="D332" s="9">
        <v>0</v>
      </c>
      <c r="E332" s="7" t="s">
        <v>838</v>
      </c>
      <c r="F332" s="7" t="s">
        <v>686</v>
      </c>
      <c r="G332" s="9">
        <v>0</v>
      </c>
    </row>
    <row r="333" spans="2:7" hidden="1" outlineLevel="1" x14ac:dyDescent="0.25">
      <c r="B333" s="7" t="s">
        <v>390</v>
      </c>
      <c r="C333" s="7" t="s">
        <v>391</v>
      </c>
      <c r="D333" s="9">
        <v>0</v>
      </c>
      <c r="E333" s="7" t="s">
        <v>839</v>
      </c>
      <c r="F333" s="7" t="s">
        <v>686</v>
      </c>
      <c r="G333" s="9">
        <v>0</v>
      </c>
    </row>
    <row r="334" spans="2:7" hidden="1" outlineLevel="1" x14ac:dyDescent="0.25">
      <c r="B334" s="7" t="s">
        <v>392</v>
      </c>
      <c r="C334" s="7" t="s">
        <v>393</v>
      </c>
      <c r="D334" s="9">
        <v>0</v>
      </c>
      <c r="E334" s="7" t="s">
        <v>840</v>
      </c>
      <c r="F334" s="7" t="s">
        <v>686</v>
      </c>
      <c r="G334" s="9">
        <v>0</v>
      </c>
    </row>
    <row r="335" spans="2:7" hidden="1" outlineLevel="1" x14ac:dyDescent="0.25">
      <c r="B335" s="7" t="s">
        <v>394</v>
      </c>
      <c r="C335" s="7" t="s">
        <v>395</v>
      </c>
      <c r="D335" s="9">
        <v>0</v>
      </c>
      <c r="E335" s="7" t="s">
        <v>841</v>
      </c>
      <c r="F335" s="7" t="s">
        <v>686</v>
      </c>
      <c r="G335" s="9">
        <v>0</v>
      </c>
    </row>
    <row r="336" spans="2:7" hidden="1" outlineLevel="1" x14ac:dyDescent="0.25">
      <c r="B336" s="7" t="s">
        <v>396</v>
      </c>
      <c r="C336" s="7" t="s">
        <v>397</v>
      </c>
      <c r="D336" s="9">
        <v>0</v>
      </c>
      <c r="E336" s="7" t="s">
        <v>842</v>
      </c>
      <c r="F336" s="7" t="s">
        <v>686</v>
      </c>
      <c r="G336" s="9">
        <v>0</v>
      </c>
    </row>
    <row r="337" spans="2:7" hidden="1" outlineLevel="1" x14ac:dyDescent="0.25">
      <c r="B337" s="7" t="s">
        <v>398</v>
      </c>
      <c r="C337" s="7" t="s">
        <v>399</v>
      </c>
      <c r="D337" s="9">
        <v>0</v>
      </c>
      <c r="E337" s="7" t="s">
        <v>843</v>
      </c>
      <c r="F337" s="7" t="s">
        <v>686</v>
      </c>
      <c r="G337" s="9">
        <v>0</v>
      </c>
    </row>
    <row r="338" spans="2:7" hidden="1" outlineLevel="1" x14ac:dyDescent="0.25">
      <c r="B338" s="7" t="s">
        <v>400</v>
      </c>
      <c r="C338" s="7" t="s">
        <v>401</v>
      </c>
      <c r="D338" s="9">
        <v>0</v>
      </c>
      <c r="E338" s="7" t="s">
        <v>844</v>
      </c>
      <c r="F338" s="7" t="s">
        <v>686</v>
      </c>
      <c r="G338" s="9">
        <v>0</v>
      </c>
    </row>
    <row r="339" spans="2:7" hidden="1" outlineLevel="1" x14ac:dyDescent="0.25">
      <c r="B339" s="7" t="s">
        <v>402</v>
      </c>
      <c r="C339" s="7" t="s">
        <v>403</v>
      </c>
      <c r="D339" s="9">
        <v>0</v>
      </c>
      <c r="E339" s="7" t="s">
        <v>845</v>
      </c>
      <c r="F339" s="7" t="s">
        <v>686</v>
      </c>
      <c r="G339" s="9">
        <v>0</v>
      </c>
    </row>
    <row r="340" spans="2:7" hidden="1" outlineLevel="1" x14ac:dyDescent="0.25">
      <c r="B340" s="7" t="s">
        <v>404</v>
      </c>
      <c r="C340" s="7" t="s">
        <v>405</v>
      </c>
      <c r="D340" s="9">
        <v>1</v>
      </c>
      <c r="E340" s="7" t="s">
        <v>846</v>
      </c>
      <c r="F340" s="7" t="s">
        <v>693</v>
      </c>
      <c r="G340" s="9">
        <v>1</v>
      </c>
    </row>
    <row r="341" spans="2:7" hidden="1" outlineLevel="1" x14ac:dyDescent="0.25">
      <c r="B341" s="7" t="s">
        <v>406</v>
      </c>
      <c r="C341" s="7" t="s">
        <v>407</v>
      </c>
      <c r="D341" s="9">
        <v>0</v>
      </c>
      <c r="E341" s="7" t="s">
        <v>847</v>
      </c>
      <c r="F341" s="7" t="s">
        <v>686</v>
      </c>
      <c r="G341" s="9">
        <v>0</v>
      </c>
    </row>
    <row r="342" spans="2:7" hidden="1" outlineLevel="1" x14ac:dyDescent="0.25">
      <c r="B342" s="7" t="s">
        <v>408</v>
      </c>
      <c r="C342" s="7" t="s">
        <v>409</v>
      </c>
      <c r="D342" s="9">
        <v>0</v>
      </c>
      <c r="E342" s="7" t="s">
        <v>848</v>
      </c>
      <c r="F342" s="7" t="s">
        <v>686</v>
      </c>
      <c r="G342" s="9">
        <v>0</v>
      </c>
    </row>
    <row r="343" spans="2:7" hidden="1" outlineLevel="1" x14ac:dyDescent="0.25">
      <c r="B343" s="7" t="s">
        <v>410</v>
      </c>
      <c r="C343" s="7" t="s">
        <v>411</v>
      </c>
      <c r="D343" s="9">
        <v>0</v>
      </c>
      <c r="E343" s="7" t="s">
        <v>849</v>
      </c>
      <c r="F343" s="7" t="s">
        <v>686</v>
      </c>
      <c r="G343" s="9">
        <v>0</v>
      </c>
    </row>
    <row r="344" spans="2:7" hidden="1" outlineLevel="1" x14ac:dyDescent="0.25">
      <c r="B344" s="7" t="s">
        <v>412</v>
      </c>
      <c r="C344" s="7" t="s">
        <v>413</v>
      </c>
      <c r="D344" s="9">
        <v>0</v>
      </c>
      <c r="E344" s="7" t="s">
        <v>850</v>
      </c>
      <c r="F344" s="7" t="s">
        <v>686</v>
      </c>
      <c r="G344" s="9">
        <v>0</v>
      </c>
    </row>
    <row r="345" spans="2:7" hidden="1" outlineLevel="1" x14ac:dyDescent="0.25">
      <c r="B345" s="7" t="s">
        <v>414</v>
      </c>
      <c r="C345" s="7" t="s">
        <v>415</v>
      </c>
      <c r="D345" s="9">
        <v>0</v>
      </c>
      <c r="E345" s="7" t="s">
        <v>851</v>
      </c>
      <c r="F345" s="7" t="s">
        <v>686</v>
      </c>
      <c r="G345" s="9">
        <v>0</v>
      </c>
    </row>
    <row r="346" spans="2:7" hidden="1" outlineLevel="1" x14ac:dyDescent="0.25">
      <c r="B346" s="7" t="s">
        <v>416</v>
      </c>
      <c r="C346" s="7" t="s">
        <v>417</v>
      </c>
      <c r="D346" s="9">
        <v>0</v>
      </c>
      <c r="E346" s="7" t="s">
        <v>852</v>
      </c>
      <c r="F346" s="7" t="s">
        <v>686</v>
      </c>
      <c r="G346" s="9">
        <v>0</v>
      </c>
    </row>
    <row r="347" spans="2:7" hidden="1" outlineLevel="1" x14ac:dyDescent="0.25">
      <c r="B347" s="7" t="s">
        <v>418</v>
      </c>
      <c r="C347" s="7" t="s">
        <v>419</v>
      </c>
      <c r="D347" s="9">
        <v>0</v>
      </c>
      <c r="E347" s="7" t="s">
        <v>853</v>
      </c>
      <c r="F347" s="7" t="s">
        <v>686</v>
      </c>
      <c r="G347" s="9">
        <v>0</v>
      </c>
    </row>
    <row r="348" spans="2:7" hidden="1" outlineLevel="1" x14ac:dyDescent="0.25">
      <c r="B348" s="7" t="s">
        <v>420</v>
      </c>
      <c r="C348" s="7" t="s">
        <v>421</v>
      </c>
      <c r="D348" s="9">
        <v>0</v>
      </c>
      <c r="E348" s="7" t="s">
        <v>854</v>
      </c>
      <c r="F348" s="7" t="s">
        <v>686</v>
      </c>
      <c r="G348" s="9">
        <v>0</v>
      </c>
    </row>
    <row r="349" spans="2:7" hidden="1" outlineLevel="1" x14ac:dyDescent="0.25">
      <c r="B349" s="7" t="s">
        <v>422</v>
      </c>
      <c r="C349" s="7" t="s">
        <v>423</v>
      </c>
      <c r="D349" s="9">
        <v>1</v>
      </c>
      <c r="E349" s="7" t="s">
        <v>855</v>
      </c>
      <c r="F349" s="7" t="s">
        <v>693</v>
      </c>
      <c r="G349" s="9">
        <v>1</v>
      </c>
    </row>
    <row r="350" spans="2:7" hidden="1" outlineLevel="1" x14ac:dyDescent="0.25">
      <c r="B350" s="7" t="s">
        <v>424</v>
      </c>
      <c r="C350" s="7" t="s">
        <v>425</v>
      </c>
      <c r="D350" s="9">
        <v>0</v>
      </c>
      <c r="E350" s="7" t="s">
        <v>856</v>
      </c>
      <c r="F350" s="7" t="s">
        <v>686</v>
      </c>
      <c r="G350" s="9">
        <v>0</v>
      </c>
    </row>
    <row r="351" spans="2:7" hidden="1" outlineLevel="1" x14ac:dyDescent="0.25">
      <c r="B351" s="7" t="s">
        <v>426</v>
      </c>
      <c r="C351" s="7" t="s">
        <v>427</v>
      </c>
      <c r="D351" s="9">
        <v>0</v>
      </c>
      <c r="E351" s="7" t="s">
        <v>857</v>
      </c>
      <c r="F351" s="7" t="s">
        <v>686</v>
      </c>
      <c r="G351" s="9">
        <v>0</v>
      </c>
    </row>
    <row r="352" spans="2:7" hidden="1" outlineLevel="1" x14ac:dyDescent="0.25">
      <c r="B352" s="7" t="s">
        <v>428</v>
      </c>
      <c r="C352" s="7" t="s">
        <v>429</v>
      </c>
      <c r="D352" s="9">
        <v>0</v>
      </c>
      <c r="E352" s="7" t="s">
        <v>858</v>
      </c>
      <c r="F352" s="7" t="s">
        <v>686</v>
      </c>
      <c r="G352" s="9">
        <v>0</v>
      </c>
    </row>
    <row r="353" spans="2:7" hidden="1" outlineLevel="1" x14ac:dyDescent="0.25">
      <c r="B353" s="7" t="s">
        <v>430</v>
      </c>
      <c r="C353" s="7" t="s">
        <v>431</v>
      </c>
      <c r="D353" s="9">
        <v>0</v>
      </c>
      <c r="E353" s="7" t="s">
        <v>859</v>
      </c>
      <c r="F353" s="7" t="s">
        <v>686</v>
      </c>
      <c r="G353" s="9">
        <v>0</v>
      </c>
    </row>
    <row r="354" spans="2:7" hidden="1" outlineLevel="1" x14ac:dyDescent="0.25">
      <c r="B354" s="7" t="s">
        <v>432</v>
      </c>
      <c r="C354" s="7" t="s">
        <v>433</v>
      </c>
      <c r="D354" s="9">
        <v>0</v>
      </c>
      <c r="E354" s="7" t="s">
        <v>860</v>
      </c>
      <c r="F354" s="7" t="s">
        <v>686</v>
      </c>
      <c r="G354" s="9">
        <v>0</v>
      </c>
    </row>
    <row r="355" spans="2:7" hidden="1" outlineLevel="1" x14ac:dyDescent="0.25">
      <c r="B355" s="7" t="s">
        <v>434</v>
      </c>
      <c r="C355" s="7" t="s">
        <v>435</v>
      </c>
      <c r="D355" s="9">
        <v>0</v>
      </c>
      <c r="E355" s="7" t="s">
        <v>861</v>
      </c>
      <c r="F355" s="7" t="s">
        <v>686</v>
      </c>
      <c r="G355" s="9">
        <v>0</v>
      </c>
    </row>
    <row r="356" spans="2:7" hidden="1" outlineLevel="1" x14ac:dyDescent="0.25">
      <c r="B356" s="7" t="s">
        <v>436</v>
      </c>
      <c r="C356" s="7" t="s">
        <v>437</v>
      </c>
      <c r="D356" s="9">
        <v>0</v>
      </c>
      <c r="E356" s="7" t="s">
        <v>862</v>
      </c>
      <c r="F356" s="7" t="s">
        <v>686</v>
      </c>
      <c r="G356" s="9">
        <v>0</v>
      </c>
    </row>
    <row r="357" spans="2:7" hidden="1" outlineLevel="1" x14ac:dyDescent="0.25">
      <c r="B357" s="7" t="s">
        <v>438</v>
      </c>
      <c r="C357" s="7" t="s">
        <v>439</v>
      </c>
      <c r="D357" s="9">
        <v>0</v>
      </c>
      <c r="E357" s="7" t="s">
        <v>863</v>
      </c>
      <c r="F357" s="7" t="s">
        <v>686</v>
      </c>
      <c r="G357" s="9">
        <v>0</v>
      </c>
    </row>
    <row r="358" spans="2:7" hidden="1" outlineLevel="1" x14ac:dyDescent="0.25">
      <c r="B358" s="7" t="s">
        <v>440</v>
      </c>
      <c r="C358" s="7" t="s">
        <v>441</v>
      </c>
      <c r="D358" s="9">
        <v>0</v>
      </c>
      <c r="E358" s="7" t="s">
        <v>864</v>
      </c>
      <c r="F358" s="7" t="s">
        <v>686</v>
      </c>
      <c r="G358" s="9">
        <v>0</v>
      </c>
    </row>
    <row r="359" spans="2:7" hidden="1" outlineLevel="1" x14ac:dyDescent="0.25">
      <c r="B359" s="7" t="s">
        <v>442</v>
      </c>
      <c r="C359" s="7" t="s">
        <v>443</v>
      </c>
      <c r="D359" s="9">
        <v>0</v>
      </c>
      <c r="E359" s="7" t="s">
        <v>865</v>
      </c>
      <c r="F359" s="7" t="s">
        <v>686</v>
      </c>
      <c r="G359" s="9">
        <v>0</v>
      </c>
    </row>
    <row r="360" spans="2:7" hidden="1" outlineLevel="1" x14ac:dyDescent="0.25">
      <c r="B360" s="7" t="s">
        <v>444</v>
      </c>
      <c r="C360" s="7" t="s">
        <v>445</v>
      </c>
      <c r="D360" s="9">
        <v>0</v>
      </c>
      <c r="E360" s="7" t="s">
        <v>866</v>
      </c>
      <c r="F360" s="7" t="s">
        <v>686</v>
      </c>
      <c r="G360" s="9">
        <v>0</v>
      </c>
    </row>
    <row r="361" spans="2:7" hidden="1" outlineLevel="1" x14ac:dyDescent="0.25">
      <c r="B361" s="7" t="s">
        <v>446</v>
      </c>
      <c r="C361" s="7" t="s">
        <v>447</v>
      </c>
      <c r="D361" s="9">
        <v>0</v>
      </c>
      <c r="E361" s="7" t="s">
        <v>867</v>
      </c>
      <c r="F361" s="7" t="s">
        <v>686</v>
      </c>
      <c r="G361" s="9">
        <v>0</v>
      </c>
    </row>
    <row r="362" spans="2:7" hidden="1" outlineLevel="1" x14ac:dyDescent="0.25">
      <c r="B362" s="7" t="s">
        <v>448</v>
      </c>
      <c r="C362" s="7" t="s">
        <v>449</v>
      </c>
      <c r="D362" s="9">
        <v>0</v>
      </c>
      <c r="E362" s="7" t="s">
        <v>868</v>
      </c>
      <c r="F362" s="7" t="s">
        <v>686</v>
      </c>
      <c r="G362" s="9">
        <v>0</v>
      </c>
    </row>
    <row r="363" spans="2:7" hidden="1" outlineLevel="1" x14ac:dyDescent="0.25">
      <c r="B363" s="7" t="s">
        <v>450</v>
      </c>
      <c r="C363" s="7" t="s">
        <v>451</v>
      </c>
      <c r="D363" s="9">
        <v>0</v>
      </c>
      <c r="E363" s="7" t="s">
        <v>869</v>
      </c>
      <c r="F363" s="7" t="s">
        <v>686</v>
      </c>
      <c r="G363" s="9">
        <v>0</v>
      </c>
    </row>
    <row r="364" spans="2:7" hidden="1" outlineLevel="1" x14ac:dyDescent="0.25">
      <c r="B364" s="7" t="s">
        <v>452</v>
      </c>
      <c r="C364" s="7" t="s">
        <v>453</v>
      </c>
      <c r="D364" s="9">
        <v>0</v>
      </c>
      <c r="E364" s="7" t="s">
        <v>870</v>
      </c>
      <c r="F364" s="7" t="s">
        <v>686</v>
      </c>
      <c r="G364" s="9">
        <v>0</v>
      </c>
    </row>
    <row r="365" spans="2:7" hidden="1" outlineLevel="1" x14ac:dyDescent="0.25">
      <c r="B365" s="7" t="s">
        <v>454</v>
      </c>
      <c r="C365" s="7" t="s">
        <v>455</v>
      </c>
      <c r="D365" s="9">
        <v>0</v>
      </c>
      <c r="E365" s="7" t="s">
        <v>871</v>
      </c>
      <c r="F365" s="7" t="s">
        <v>686</v>
      </c>
      <c r="G365" s="9">
        <v>0</v>
      </c>
    </row>
    <row r="366" spans="2:7" hidden="1" outlineLevel="1" x14ac:dyDescent="0.25">
      <c r="B366" s="7" t="s">
        <v>456</v>
      </c>
      <c r="C366" s="7" t="s">
        <v>457</v>
      </c>
      <c r="D366" s="9">
        <v>0</v>
      </c>
      <c r="E366" s="7" t="s">
        <v>872</v>
      </c>
      <c r="F366" s="7" t="s">
        <v>686</v>
      </c>
      <c r="G366" s="9">
        <v>0</v>
      </c>
    </row>
    <row r="367" spans="2:7" hidden="1" outlineLevel="1" x14ac:dyDescent="0.25">
      <c r="B367" s="7" t="s">
        <v>458</v>
      </c>
      <c r="C367" s="7" t="s">
        <v>459</v>
      </c>
      <c r="D367" s="9">
        <v>0</v>
      </c>
      <c r="E367" s="7" t="s">
        <v>873</v>
      </c>
      <c r="F367" s="7" t="s">
        <v>686</v>
      </c>
      <c r="G367" s="9">
        <v>0</v>
      </c>
    </row>
    <row r="368" spans="2:7" hidden="1" outlineLevel="1" x14ac:dyDescent="0.25">
      <c r="B368" s="7" t="s">
        <v>460</v>
      </c>
      <c r="C368" s="7" t="s">
        <v>461</v>
      </c>
      <c r="D368" s="9">
        <v>0</v>
      </c>
      <c r="E368" s="7" t="s">
        <v>874</v>
      </c>
      <c r="F368" s="7" t="s">
        <v>686</v>
      </c>
      <c r="G368" s="9">
        <v>0</v>
      </c>
    </row>
    <row r="369" spans="2:7" hidden="1" outlineLevel="1" x14ac:dyDescent="0.25">
      <c r="B369" s="7" t="s">
        <v>462</v>
      </c>
      <c r="C369" s="7" t="s">
        <v>463</v>
      </c>
      <c r="D369" s="9">
        <v>0</v>
      </c>
      <c r="E369" s="7" t="s">
        <v>875</v>
      </c>
      <c r="F369" s="7" t="s">
        <v>686</v>
      </c>
      <c r="G369" s="9">
        <v>0</v>
      </c>
    </row>
    <row r="370" spans="2:7" hidden="1" outlineLevel="1" x14ac:dyDescent="0.25">
      <c r="B370" s="7" t="s">
        <v>464</v>
      </c>
      <c r="C370" s="7" t="s">
        <v>465</v>
      </c>
      <c r="D370" s="9">
        <v>0</v>
      </c>
      <c r="E370" s="7" t="s">
        <v>876</v>
      </c>
      <c r="F370" s="7" t="s">
        <v>686</v>
      </c>
      <c r="G370" s="9">
        <v>0</v>
      </c>
    </row>
    <row r="371" spans="2:7" hidden="1" outlineLevel="1" x14ac:dyDescent="0.25">
      <c r="B371" s="7" t="s">
        <v>466</v>
      </c>
      <c r="C371" s="7" t="s">
        <v>467</v>
      </c>
      <c r="D371" s="9">
        <v>0</v>
      </c>
      <c r="E371" s="7" t="s">
        <v>877</v>
      </c>
      <c r="F371" s="7" t="s">
        <v>686</v>
      </c>
      <c r="G371" s="9">
        <v>0</v>
      </c>
    </row>
    <row r="372" spans="2:7" hidden="1" outlineLevel="1" x14ac:dyDescent="0.25">
      <c r="B372" s="7" t="s">
        <v>468</v>
      </c>
      <c r="C372" s="7" t="s">
        <v>469</v>
      </c>
      <c r="D372" s="9">
        <v>0</v>
      </c>
      <c r="E372" s="7" t="s">
        <v>878</v>
      </c>
      <c r="F372" s="7" t="s">
        <v>686</v>
      </c>
      <c r="G372" s="9">
        <v>0</v>
      </c>
    </row>
    <row r="373" spans="2:7" hidden="1" outlineLevel="1" x14ac:dyDescent="0.25">
      <c r="B373" s="7" t="s">
        <v>470</v>
      </c>
      <c r="C373" s="7" t="s">
        <v>471</v>
      </c>
      <c r="D373" s="9">
        <v>0</v>
      </c>
      <c r="E373" s="7" t="s">
        <v>879</v>
      </c>
      <c r="F373" s="7" t="s">
        <v>686</v>
      </c>
      <c r="G373" s="9">
        <v>0</v>
      </c>
    </row>
    <row r="374" spans="2:7" hidden="1" outlineLevel="1" x14ac:dyDescent="0.25">
      <c r="B374" s="7" t="s">
        <v>472</v>
      </c>
      <c r="C374" s="7" t="s">
        <v>473</v>
      </c>
      <c r="D374" s="9">
        <v>0</v>
      </c>
      <c r="E374" s="7" t="s">
        <v>880</v>
      </c>
      <c r="F374" s="7" t="s">
        <v>686</v>
      </c>
      <c r="G374" s="9">
        <v>0</v>
      </c>
    </row>
    <row r="375" spans="2:7" hidden="1" outlineLevel="1" x14ac:dyDescent="0.25">
      <c r="B375" s="7" t="s">
        <v>474</v>
      </c>
      <c r="C375" s="7" t="s">
        <v>475</v>
      </c>
      <c r="D375" s="9">
        <v>0</v>
      </c>
      <c r="E375" s="7" t="s">
        <v>881</v>
      </c>
      <c r="F375" s="7" t="s">
        <v>686</v>
      </c>
      <c r="G375" s="9">
        <v>0</v>
      </c>
    </row>
    <row r="376" spans="2:7" hidden="1" outlineLevel="1" x14ac:dyDescent="0.25">
      <c r="B376" s="7" t="s">
        <v>476</v>
      </c>
      <c r="C376" s="7" t="s">
        <v>477</v>
      </c>
      <c r="D376" s="9">
        <v>0</v>
      </c>
      <c r="E376" s="7" t="s">
        <v>882</v>
      </c>
      <c r="F376" s="7" t="s">
        <v>686</v>
      </c>
      <c r="G376" s="9">
        <v>0</v>
      </c>
    </row>
    <row r="377" spans="2:7" hidden="1" outlineLevel="1" x14ac:dyDescent="0.25">
      <c r="B377" s="7" t="s">
        <v>478</v>
      </c>
      <c r="C377" s="7" t="s">
        <v>479</v>
      </c>
      <c r="D377" s="9">
        <v>0</v>
      </c>
      <c r="E377" s="7" t="s">
        <v>883</v>
      </c>
      <c r="F377" s="7" t="s">
        <v>686</v>
      </c>
      <c r="G377" s="9">
        <v>0</v>
      </c>
    </row>
    <row r="378" spans="2:7" hidden="1" outlineLevel="1" x14ac:dyDescent="0.25">
      <c r="B378" s="7" t="s">
        <v>480</v>
      </c>
      <c r="C378" s="7" t="s">
        <v>481</v>
      </c>
      <c r="D378" s="9">
        <v>0</v>
      </c>
      <c r="E378" s="7" t="s">
        <v>884</v>
      </c>
      <c r="F378" s="7" t="s">
        <v>686</v>
      </c>
      <c r="G378" s="9">
        <v>0</v>
      </c>
    </row>
    <row r="379" spans="2:7" hidden="1" outlineLevel="1" x14ac:dyDescent="0.25">
      <c r="B379" s="7" t="s">
        <v>482</v>
      </c>
      <c r="C379" s="7" t="s">
        <v>483</v>
      </c>
      <c r="D379" s="9">
        <v>0</v>
      </c>
      <c r="E379" s="7" t="s">
        <v>885</v>
      </c>
      <c r="F379" s="7" t="s">
        <v>686</v>
      </c>
      <c r="G379" s="9">
        <v>0</v>
      </c>
    </row>
    <row r="380" spans="2:7" hidden="1" outlineLevel="1" x14ac:dyDescent="0.25">
      <c r="B380" s="7" t="s">
        <v>484</v>
      </c>
      <c r="C380" s="7" t="s">
        <v>485</v>
      </c>
      <c r="D380" s="9">
        <v>0</v>
      </c>
      <c r="E380" s="7" t="s">
        <v>886</v>
      </c>
      <c r="F380" s="7" t="s">
        <v>686</v>
      </c>
      <c r="G380" s="9">
        <v>0</v>
      </c>
    </row>
    <row r="381" spans="2:7" hidden="1" outlineLevel="1" x14ac:dyDescent="0.25">
      <c r="B381" s="7" t="s">
        <v>486</v>
      </c>
      <c r="C381" s="7" t="s">
        <v>487</v>
      </c>
      <c r="D381" s="9">
        <v>0</v>
      </c>
      <c r="E381" s="7" t="s">
        <v>887</v>
      </c>
      <c r="F381" s="7" t="s">
        <v>686</v>
      </c>
      <c r="G381" s="9">
        <v>0</v>
      </c>
    </row>
    <row r="382" spans="2:7" hidden="1" outlineLevel="1" x14ac:dyDescent="0.25">
      <c r="B382" s="7" t="s">
        <v>488</v>
      </c>
      <c r="C382" s="7" t="s">
        <v>489</v>
      </c>
      <c r="D382" s="9">
        <v>0</v>
      </c>
      <c r="E382" s="7" t="s">
        <v>888</v>
      </c>
      <c r="F382" s="7" t="s">
        <v>686</v>
      </c>
      <c r="G382" s="9">
        <v>0</v>
      </c>
    </row>
    <row r="383" spans="2:7" hidden="1" outlineLevel="1" x14ac:dyDescent="0.25">
      <c r="B383" s="7" t="s">
        <v>490</v>
      </c>
      <c r="C383" s="7" t="s">
        <v>491</v>
      </c>
      <c r="D383" s="9">
        <v>0</v>
      </c>
      <c r="E383" s="7" t="s">
        <v>889</v>
      </c>
      <c r="F383" s="7" t="s">
        <v>686</v>
      </c>
      <c r="G383" s="9">
        <v>0</v>
      </c>
    </row>
    <row r="384" spans="2:7" hidden="1" outlineLevel="1" x14ac:dyDescent="0.25">
      <c r="B384" s="7" t="s">
        <v>492</v>
      </c>
      <c r="C384" s="7" t="s">
        <v>493</v>
      </c>
      <c r="D384" s="9">
        <v>0</v>
      </c>
      <c r="E384" s="7" t="s">
        <v>890</v>
      </c>
      <c r="F384" s="7" t="s">
        <v>686</v>
      </c>
      <c r="G384" s="9">
        <v>0</v>
      </c>
    </row>
    <row r="385" spans="2:7" hidden="1" outlineLevel="1" x14ac:dyDescent="0.25">
      <c r="B385" s="7" t="s">
        <v>494</v>
      </c>
      <c r="C385" s="7" t="s">
        <v>495</v>
      </c>
      <c r="D385" s="9">
        <v>0</v>
      </c>
      <c r="E385" s="7" t="s">
        <v>891</v>
      </c>
      <c r="F385" s="7" t="s">
        <v>686</v>
      </c>
      <c r="G385" s="9">
        <v>0</v>
      </c>
    </row>
    <row r="386" spans="2:7" hidden="1" outlineLevel="1" x14ac:dyDescent="0.25">
      <c r="B386" s="7" t="s">
        <v>496</v>
      </c>
      <c r="C386" s="7" t="s">
        <v>497</v>
      </c>
      <c r="D386" s="9">
        <v>0</v>
      </c>
      <c r="E386" s="7" t="s">
        <v>892</v>
      </c>
      <c r="F386" s="7" t="s">
        <v>686</v>
      </c>
      <c r="G386" s="9">
        <v>0</v>
      </c>
    </row>
    <row r="387" spans="2:7" hidden="1" outlineLevel="1" x14ac:dyDescent="0.25">
      <c r="B387" s="7" t="s">
        <v>498</v>
      </c>
      <c r="C387" s="7" t="s">
        <v>499</v>
      </c>
      <c r="D387" s="9">
        <v>0</v>
      </c>
      <c r="E387" s="7" t="s">
        <v>893</v>
      </c>
      <c r="F387" s="7" t="s">
        <v>686</v>
      </c>
      <c r="G387" s="9">
        <v>0</v>
      </c>
    </row>
    <row r="388" spans="2:7" hidden="1" outlineLevel="1" x14ac:dyDescent="0.25">
      <c r="B388" s="7" t="s">
        <v>500</v>
      </c>
      <c r="C388" s="7" t="s">
        <v>501</v>
      </c>
      <c r="D388" s="9">
        <v>0</v>
      </c>
      <c r="E388" s="7" t="s">
        <v>894</v>
      </c>
      <c r="F388" s="7" t="s">
        <v>686</v>
      </c>
      <c r="G388" s="9">
        <v>0</v>
      </c>
    </row>
    <row r="389" spans="2:7" hidden="1" outlineLevel="1" x14ac:dyDescent="0.25">
      <c r="B389" s="7" t="s">
        <v>502</v>
      </c>
      <c r="C389" s="7" t="s">
        <v>503</v>
      </c>
      <c r="D389" s="9">
        <v>0</v>
      </c>
      <c r="E389" s="7" t="s">
        <v>895</v>
      </c>
      <c r="F389" s="7" t="s">
        <v>686</v>
      </c>
      <c r="G389" s="9">
        <v>0</v>
      </c>
    </row>
    <row r="390" spans="2:7" hidden="1" outlineLevel="1" x14ac:dyDescent="0.25">
      <c r="B390" s="7" t="s">
        <v>504</v>
      </c>
      <c r="C390" s="7" t="s">
        <v>505</v>
      </c>
      <c r="D390" s="9">
        <v>0</v>
      </c>
      <c r="E390" s="7" t="s">
        <v>896</v>
      </c>
      <c r="F390" s="7" t="s">
        <v>686</v>
      </c>
      <c r="G390" s="9">
        <v>0</v>
      </c>
    </row>
    <row r="391" spans="2:7" hidden="1" outlineLevel="1" x14ac:dyDescent="0.25">
      <c r="B391" s="7" t="s">
        <v>506</v>
      </c>
      <c r="C391" s="7" t="s">
        <v>507</v>
      </c>
      <c r="D391" s="9">
        <v>0</v>
      </c>
      <c r="E391" s="7" t="s">
        <v>897</v>
      </c>
      <c r="F391" s="7" t="s">
        <v>686</v>
      </c>
      <c r="G391" s="9">
        <v>0</v>
      </c>
    </row>
    <row r="392" spans="2:7" hidden="1" outlineLevel="1" x14ac:dyDescent="0.25">
      <c r="B392" s="7" t="s">
        <v>508</v>
      </c>
      <c r="C392" s="7" t="s">
        <v>509</v>
      </c>
      <c r="D392" s="9">
        <v>0</v>
      </c>
      <c r="E392" s="7" t="s">
        <v>898</v>
      </c>
      <c r="F392" s="7" t="s">
        <v>686</v>
      </c>
      <c r="G392" s="9">
        <v>0</v>
      </c>
    </row>
    <row r="393" spans="2:7" hidden="1" outlineLevel="1" x14ac:dyDescent="0.25">
      <c r="B393" s="7" t="s">
        <v>510</v>
      </c>
      <c r="C393" s="7" t="s">
        <v>511</v>
      </c>
      <c r="D393" s="9">
        <v>1</v>
      </c>
      <c r="E393" s="7" t="s">
        <v>899</v>
      </c>
      <c r="F393" s="7" t="s">
        <v>693</v>
      </c>
      <c r="G393" s="9">
        <v>1</v>
      </c>
    </row>
    <row r="394" spans="2:7" hidden="1" outlineLevel="1" x14ac:dyDescent="0.25">
      <c r="B394" s="7" t="s">
        <v>512</v>
      </c>
      <c r="C394" s="7" t="s">
        <v>513</v>
      </c>
      <c r="D394" s="9">
        <v>0</v>
      </c>
      <c r="E394" s="7" t="s">
        <v>900</v>
      </c>
      <c r="F394" s="7" t="s">
        <v>686</v>
      </c>
      <c r="G394" s="9">
        <v>0</v>
      </c>
    </row>
    <row r="395" spans="2:7" hidden="1" outlineLevel="1" x14ac:dyDescent="0.25">
      <c r="B395" s="7" t="s">
        <v>514</v>
      </c>
      <c r="C395" s="7" t="s">
        <v>515</v>
      </c>
      <c r="D395" s="9">
        <v>0</v>
      </c>
      <c r="E395" s="7" t="s">
        <v>901</v>
      </c>
      <c r="F395" s="7" t="s">
        <v>686</v>
      </c>
      <c r="G395" s="9">
        <v>0</v>
      </c>
    </row>
    <row r="396" spans="2:7" hidden="1" outlineLevel="1" x14ac:dyDescent="0.25">
      <c r="B396" s="7" t="s">
        <v>516</v>
      </c>
      <c r="C396" s="7" t="s">
        <v>517</v>
      </c>
      <c r="D396" s="9">
        <v>0</v>
      </c>
      <c r="E396" s="7" t="s">
        <v>902</v>
      </c>
      <c r="F396" s="7" t="s">
        <v>686</v>
      </c>
      <c r="G396" s="9">
        <v>0</v>
      </c>
    </row>
    <row r="397" spans="2:7" hidden="1" outlineLevel="1" x14ac:dyDescent="0.25">
      <c r="B397" s="7" t="s">
        <v>518</v>
      </c>
      <c r="C397" s="7" t="s">
        <v>519</v>
      </c>
      <c r="D397" s="9">
        <v>1</v>
      </c>
      <c r="E397" s="7" t="s">
        <v>903</v>
      </c>
      <c r="F397" s="7" t="s">
        <v>693</v>
      </c>
      <c r="G397" s="9">
        <v>1</v>
      </c>
    </row>
    <row r="398" spans="2:7" hidden="1" outlineLevel="1" x14ac:dyDescent="0.25">
      <c r="B398" s="7" t="s">
        <v>520</v>
      </c>
      <c r="C398" s="7" t="s">
        <v>521</v>
      </c>
      <c r="D398" s="9">
        <v>0</v>
      </c>
      <c r="E398" s="7" t="s">
        <v>904</v>
      </c>
      <c r="F398" s="7" t="s">
        <v>686</v>
      </c>
      <c r="G398" s="9">
        <v>0</v>
      </c>
    </row>
    <row r="399" spans="2:7" hidden="1" outlineLevel="1" x14ac:dyDescent="0.25">
      <c r="B399" s="7" t="s">
        <v>522</v>
      </c>
      <c r="C399" s="7" t="s">
        <v>523</v>
      </c>
      <c r="D399" s="9">
        <v>0</v>
      </c>
      <c r="E399" s="7" t="s">
        <v>905</v>
      </c>
      <c r="F399" s="7" t="s">
        <v>686</v>
      </c>
      <c r="G399" s="9">
        <v>0</v>
      </c>
    </row>
    <row r="400" spans="2:7" hidden="1" outlineLevel="1" x14ac:dyDescent="0.25">
      <c r="B400" s="7" t="s">
        <v>524</v>
      </c>
      <c r="C400" s="7" t="s">
        <v>525</v>
      </c>
      <c r="D400" s="9">
        <v>0</v>
      </c>
      <c r="E400" s="7" t="s">
        <v>906</v>
      </c>
      <c r="F400" s="7" t="s">
        <v>686</v>
      </c>
      <c r="G400" s="9">
        <v>0</v>
      </c>
    </row>
    <row r="401" spans="2:7" hidden="1" outlineLevel="1" x14ac:dyDescent="0.25">
      <c r="B401" s="7" t="s">
        <v>526</v>
      </c>
      <c r="C401" s="7" t="s">
        <v>527</v>
      </c>
      <c r="D401" s="9">
        <v>0</v>
      </c>
      <c r="E401" s="7" t="s">
        <v>907</v>
      </c>
      <c r="F401" s="7" t="s">
        <v>686</v>
      </c>
      <c r="G401" s="9">
        <v>0</v>
      </c>
    </row>
    <row r="402" spans="2:7" hidden="1" outlineLevel="1" x14ac:dyDescent="0.25">
      <c r="B402" s="7" t="s">
        <v>528</v>
      </c>
      <c r="C402" s="7" t="s">
        <v>529</v>
      </c>
      <c r="D402" s="9">
        <v>0</v>
      </c>
      <c r="E402" s="7" t="s">
        <v>908</v>
      </c>
      <c r="F402" s="7" t="s">
        <v>686</v>
      </c>
      <c r="G402" s="9">
        <v>0</v>
      </c>
    </row>
    <row r="403" spans="2:7" hidden="1" outlineLevel="1" x14ac:dyDescent="0.25">
      <c r="B403" s="7" t="s">
        <v>530</v>
      </c>
      <c r="C403" s="7" t="s">
        <v>531</v>
      </c>
      <c r="D403" s="9">
        <v>0</v>
      </c>
      <c r="E403" s="7" t="s">
        <v>909</v>
      </c>
      <c r="F403" s="7" t="s">
        <v>686</v>
      </c>
      <c r="G403" s="9">
        <v>0</v>
      </c>
    </row>
    <row r="404" spans="2:7" hidden="1" outlineLevel="1" x14ac:dyDescent="0.25">
      <c r="B404" s="7" t="s">
        <v>532</v>
      </c>
      <c r="C404" s="7" t="s">
        <v>533</v>
      </c>
      <c r="D404" s="9">
        <v>0</v>
      </c>
      <c r="E404" s="7" t="s">
        <v>910</v>
      </c>
      <c r="F404" s="7" t="s">
        <v>686</v>
      </c>
      <c r="G404" s="9">
        <v>0</v>
      </c>
    </row>
    <row r="405" spans="2:7" hidden="1" outlineLevel="1" x14ac:dyDescent="0.25">
      <c r="B405" s="7" t="s">
        <v>534</v>
      </c>
      <c r="C405" s="7" t="s">
        <v>535</v>
      </c>
      <c r="D405" s="9">
        <v>0</v>
      </c>
      <c r="E405" s="7" t="s">
        <v>911</v>
      </c>
      <c r="F405" s="7" t="s">
        <v>686</v>
      </c>
      <c r="G405" s="9">
        <v>0</v>
      </c>
    </row>
    <row r="406" spans="2:7" hidden="1" outlineLevel="1" x14ac:dyDescent="0.25">
      <c r="B406" s="7" t="s">
        <v>536</v>
      </c>
      <c r="C406" s="7" t="s">
        <v>537</v>
      </c>
      <c r="D406" s="9">
        <v>0</v>
      </c>
      <c r="E406" s="7" t="s">
        <v>912</v>
      </c>
      <c r="F406" s="7" t="s">
        <v>686</v>
      </c>
      <c r="G406" s="9">
        <v>0</v>
      </c>
    </row>
    <row r="407" spans="2:7" hidden="1" outlineLevel="1" x14ac:dyDescent="0.25">
      <c r="B407" s="7" t="s">
        <v>538</v>
      </c>
      <c r="C407" s="7" t="s">
        <v>539</v>
      </c>
      <c r="D407" s="9">
        <v>0</v>
      </c>
      <c r="E407" s="7" t="s">
        <v>913</v>
      </c>
      <c r="F407" s="7" t="s">
        <v>686</v>
      </c>
      <c r="G407" s="9">
        <v>0</v>
      </c>
    </row>
    <row r="408" spans="2:7" hidden="1" outlineLevel="1" x14ac:dyDescent="0.25">
      <c r="B408" s="7" t="s">
        <v>540</v>
      </c>
      <c r="C408" s="7" t="s">
        <v>541</v>
      </c>
      <c r="D408" s="9">
        <v>1</v>
      </c>
      <c r="E408" s="7" t="s">
        <v>914</v>
      </c>
      <c r="F408" s="7" t="s">
        <v>693</v>
      </c>
      <c r="G408" s="9">
        <v>1</v>
      </c>
    </row>
    <row r="409" spans="2:7" hidden="1" outlineLevel="1" x14ac:dyDescent="0.25">
      <c r="B409" s="7" t="s">
        <v>542</v>
      </c>
      <c r="C409" s="7" t="s">
        <v>543</v>
      </c>
      <c r="D409" s="9">
        <v>0</v>
      </c>
      <c r="E409" s="7" t="s">
        <v>915</v>
      </c>
      <c r="F409" s="7" t="s">
        <v>686</v>
      </c>
      <c r="G409" s="9">
        <v>0</v>
      </c>
    </row>
    <row r="410" spans="2:7" hidden="1" outlineLevel="1" x14ac:dyDescent="0.25">
      <c r="B410" s="7" t="s">
        <v>544</v>
      </c>
      <c r="C410" s="7" t="s">
        <v>545</v>
      </c>
      <c r="D410" s="9">
        <v>0</v>
      </c>
      <c r="E410" s="7" t="s">
        <v>916</v>
      </c>
      <c r="F410" s="7" t="s">
        <v>686</v>
      </c>
      <c r="G410" s="9">
        <v>0</v>
      </c>
    </row>
    <row r="411" spans="2:7" hidden="1" outlineLevel="1" x14ac:dyDescent="0.25">
      <c r="B411" s="7" t="s">
        <v>546</v>
      </c>
      <c r="C411" s="7" t="s">
        <v>547</v>
      </c>
      <c r="D411" s="9">
        <v>0</v>
      </c>
      <c r="E411" s="7" t="s">
        <v>917</v>
      </c>
      <c r="F411" s="7" t="s">
        <v>686</v>
      </c>
      <c r="G411" s="9">
        <v>0</v>
      </c>
    </row>
    <row r="412" spans="2:7" hidden="1" outlineLevel="1" x14ac:dyDescent="0.25">
      <c r="B412" s="7" t="s">
        <v>548</v>
      </c>
      <c r="C412" s="7" t="s">
        <v>549</v>
      </c>
      <c r="D412" s="9">
        <v>0</v>
      </c>
      <c r="E412" s="7" t="s">
        <v>918</v>
      </c>
      <c r="F412" s="7" t="s">
        <v>686</v>
      </c>
      <c r="G412" s="9">
        <v>0</v>
      </c>
    </row>
    <row r="413" spans="2:7" hidden="1" outlineLevel="1" x14ac:dyDescent="0.25">
      <c r="B413" s="7" t="s">
        <v>550</v>
      </c>
      <c r="C413" s="7" t="s">
        <v>551</v>
      </c>
      <c r="D413" s="9">
        <v>0</v>
      </c>
      <c r="E413" s="7" t="s">
        <v>919</v>
      </c>
      <c r="F413" s="7" t="s">
        <v>686</v>
      </c>
      <c r="G413" s="9">
        <v>0</v>
      </c>
    </row>
    <row r="414" spans="2:7" hidden="1" outlineLevel="1" x14ac:dyDescent="0.25">
      <c r="B414" s="7" t="s">
        <v>552</v>
      </c>
      <c r="C414" s="7" t="s">
        <v>553</v>
      </c>
      <c r="D414" s="9">
        <v>0</v>
      </c>
      <c r="E414" s="7" t="s">
        <v>920</v>
      </c>
      <c r="F414" s="7" t="s">
        <v>686</v>
      </c>
      <c r="G414" s="9">
        <v>0</v>
      </c>
    </row>
    <row r="415" spans="2:7" hidden="1" outlineLevel="1" x14ac:dyDescent="0.25">
      <c r="B415" s="7" t="s">
        <v>554</v>
      </c>
      <c r="C415" s="7" t="s">
        <v>555</v>
      </c>
      <c r="D415" s="9">
        <v>0</v>
      </c>
      <c r="E415" s="7" t="s">
        <v>921</v>
      </c>
      <c r="F415" s="7" t="s">
        <v>686</v>
      </c>
      <c r="G415" s="9">
        <v>0</v>
      </c>
    </row>
    <row r="416" spans="2:7" hidden="1" outlineLevel="1" x14ac:dyDescent="0.25">
      <c r="B416" s="7" t="s">
        <v>556</v>
      </c>
      <c r="C416" s="7" t="s">
        <v>557</v>
      </c>
      <c r="D416" s="9">
        <v>0</v>
      </c>
      <c r="E416" s="7" t="s">
        <v>922</v>
      </c>
      <c r="F416" s="7" t="s">
        <v>686</v>
      </c>
      <c r="G416" s="9">
        <v>0</v>
      </c>
    </row>
    <row r="417" spans="2:7" hidden="1" outlineLevel="1" x14ac:dyDescent="0.25">
      <c r="B417" s="7" t="s">
        <v>558</v>
      </c>
      <c r="C417" s="7" t="s">
        <v>559</v>
      </c>
      <c r="D417" s="9">
        <v>0</v>
      </c>
      <c r="E417" s="7" t="s">
        <v>923</v>
      </c>
      <c r="F417" s="7" t="s">
        <v>686</v>
      </c>
      <c r="G417" s="9">
        <v>0</v>
      </c>
    </row>
    <row r="418" spans="2:7" hidden="1" outlineLevel="1" x14ac:dyDescent="0.25">
      <c r="B418" s="7" t="s">
        <v>560</v>
      </c>
      <c r="C418" s="7" t="s">
        <v>561</v>
      </c>
      <c r="D418" s="9">
        <v>0</v>
      </c>
      <c r="E418" s="7" t="s">
        <v>924</v>
      </c>
      <c r="F418" s="7" t="s">
        <v>686</v>
      </c>
      <c r="G418" s="9">
        <v>0</v>
      </c>
    </row>
    <row r="419" spans="2:7" hidden="1" outlineLevel="1" x14ac:dyDescent="0.25">
      <c r="B419" s="7" t="s">
        <v>562</v>
      </c>
      <c r="C419" s="7" t="s">
        <v>563</v>
      </c>
      <c r="D419" s="9">
        <v>0</v>
      </c>
      <c r="E419" s="7" t="s">
        <v>925</v>
      </c>
      <c r="F419" s="7" t="s">
        <v>686</v>
      </c>
      <c r="G419" s="9">
        <v>0</v>
      </c>
    </row>
    <row r="420" spans="2:7" hidden="1" outlineLevel="1" x14ac:dyDescent="0.25">
      <c r="B420" s="7" t="s">
        <v>564</v>
      </c>
      <c r="C420" s="7" t="s">
        <v>565</v>
      </c>
      <c r="D420" s="9">
        <v>0</v>
      </c>
      <c r="E420" s="7" t="s">
        <v>926</v>
      </c>
      <c r="F420" s="7" t="s">
        <v>686</v>
      </c>
      <c r="G420" s="9">
        <v>0</v>
      </c>
    </row>
    <row r="421" spans="2:7" hidden="1" outlineLevel="1" x14ac:dyDescent="0.25">
      <c r="B421" s="7" t="s">
        <v>566</v>
      </c>
      <c r="C421" s="7" t="s">
        <v>567</v>
      </c>
      <c r="D421" s="9">
        <v>0</v>
      </c>
      <c r="E421" s="7" t="s">
        <v>927</v>
      </c>
      <c r="F421" s="7" t="s">
        <v>686</v>
      </c>
      <c r="G421" s="9">
        <v>0</v>
      </c>
    </row>
    <row r="422" spans="2:7" hidden="1" outlineLevel="1" x14ac:dyDescent="0.25">
      <c r="B422" s="7" t="s">
        <v>568</v>
      </c>
      <c r="C422" s="7" t="s">
        <v>569</v>
      </c>
      <c r="D422" s="9">
        <v>0</v>
      </c>
      <c r="E422" s="7" t="s">
        <v>928</v>
      </c>
      <c r="F422" s="7" t="s">
        <v>686</v>
      </c>
      <c r="G422" s="9">
        <v>0</v>
      </c>
    </row>
    <row r="423" spans="2:7" hidden="1" outlineLevel="1" x14ac:dyDescent="0.25">
      <c r="B423" s="7" t="s">
        <v>570</v>
      </c>
      <c r="C423" s="7" t="s">
        <v>571</v>
      </c>
      <c r="D423" s="9">
        <v>0</v>
      </c>
      <c r="E423" s="7" t="s">
        <v>929</v>
      </c>
      <c r="F423" s="7" t="s">
        <v>686</v>
      </c>
      <c r="G423" s="9">
        <v>0</v>
      </c>
    </row>
    <row r="424" spans="2:7" hidden="1" outlineLevel="1" x14ac:dyDescent="0.25">
      <c r="B424" s="7" t="s">
        <v>572</v>
      </c>
      <c r="C424" s="7" t="s">
        <v>573</v>
      </c>
      <c r="D424" s="9">
        <v>0</v>
      </c>
      <c r="E424" s="7" t="s">
        <v>930</v>
      </c>
      <c r="F424" s="7" t="s">
        <v>686</v>
      </c>
      <c r="G424" s="9">
        <v>0</v>
      </c>
    </row>
    <row r="425" spans="2:7" hidden="1" outlineLevel="1" x14ac:dyDescent="0.25">
      <c r="B425" s="7" t="s">
        <v>574</v>
      </c>
      <c r="C425" s="7" t="s">
        <v>575</v>
      </c>
      <c r="D425" s="9">
        <v>0</v>
      </c>
      <c r="E425" s="7" t="s">
        <v>931</v>
      </c>
      <c r="F425" s="7" t="s">
        <v>686</v>
      </c>
      <c r="G425" s="9">
        <v>0</v>
      </c>
    </row>
    <row r="426" spans="2:7" hidden="1" outlineLevel="1" x14ac:dyDescent="0.25">
      <c r="B426" s="7" t="s">
        <v>576</v>
      </c>
      <c r="C426" s="7" t="s">
        <v>577</v>
      </c>
      <c r="D426" s="9">
        <v>0</v>
      </c>
      <c r="E426" s="7" t="s">
        <v>932</v>
      </c>
      <c r="F426" s="7" t="s">
        <v>686</v>
      </c>
      <c r="G426" s="9">
        <v>0</v>
      </c>
    </row>
    <row r="427" spans="2:7" hidden="1" outlineLevel="1" x14ac:dyDescent="0.25">
      <c r="B427" s="7" t="s">
        <v>578</v>
      </c>
      <c r="C427" s="7" t="s">
        <v>579</v>
      </c>
      <c r="D427" s="9">
        <v>0</v>
      </c>
      <c r="E427" s="7" t="s">
        <v>933</v>
      </c>
      <c r="F427" s="7" t="s">
        <v>686</v>
      </c>
      <c r="G427" s="9">
        <v>0</v>
      </c>
    </row>
    <row r="428" spans="2:7" hidden="1" outlineLevel="1" x14ac:dyDescent="0.25">
      <c r="B428" s="7" t="s">
        <v>580</v>
      </c>
      <c r="C428" s="7" t="s">
        <v>581</v>
      </c>
      <c r="D428" s="9">
        <v>0</v>
      </c>
      <c r="E428" s="7" t="s">
        <v>934</v>
      </c>
      <c r="F428" s="7" t="s">
        <v>686</v>
      </c>
      <c r="G428" s="9">
        <v>0</v>
      </c>
    </row>
    <row r="429" spans="2:7" hidden="1" outlineLevel="1" x14ac:dyDescent="0.25">
      <c r="B429" s="7" t="s">
        <v>582</v>
      </c>
      <c r="C429" s="7" t="s">
        <v>583</v>
      </c>
      <c r="D429" s="9">
        <v>0</v>
      </c>
      <c r="E429" s="7" t="s">
        <v>935</v>
      </c>
      <c r="F429" s="7" t="s">
        <v>686</v>
      </c>
      <c r="G429" s="9">
        <v>0</v>
      </c>
    </row>
    <row r="430" spans="2:7" hidden="1" outlineLevel="1" x14ac:dyDescent="0.25">
      <c r="B430" s="7" t="s">
        <v>584</v>
      </c>
      <c r="C430" s="7" t="s">
        <v>585</v>
      </c>
      <c r="D430" s="9">
        <v>0</v>
      </c>
      <c r="E430" s="7" t="s">
        <v>936</v>
      </c>
      <c r="F430" s="7" t="s">
        <v>686</v>
      </c>
      <c r="G430" s="9">
        <v>0</v>
      </c>
    </row>
    <row r="431" spans="2:7" hidden="1" outlineLevel="1" x14ac:dyDescent="0.25">
      <c r="B431" s="7" t="s">
        <v>586</v>
      </c>
      <c r="C431" s="7" t="s">
        <v>587</v>
      </c>
      <c r="D431" s="9">
        <v>0</v>
      </c>
      <c r="E431" s="7" t="s">
        <v>937</v>
      </c>
      <c r="F431" s="7" t="s">
        <v>686</v>
      </c>
      <c r="G431" s="9">
        <v>0</v>
      </c>
    </row>
    <row r="432" spans="2:7" hidden="1" outlineLevel="1" x14ac:dyDescent="0.25">
      <c r="B432" s="7" t="s">
        <v>588</v>
      </c>
      <c r="C432" s="7" t="s">
        <v>589</v>
      </c>
      <c r="D432" s="9">
        <v>0</v>
      </c>
      <c r="E432" s="7" t="s">
        <v>938</v>
      </c>
      <c r="F432" s="7" t="s">
        <v>686</v>
      </c>
      <c r="G432" s="9">
        <v>0</v>
      </c>
    </row>
    <row r="433" spans="2:7" hidden="1" outlineLevel="1" x14ac:dyDescent="0.25">
      <c r="B433" s="7" t="s">
        <v>590</v>
      </c>
      <c r="C433" s="7" t="s">
        <v>591</v>
      </c>
      <c r="D433" s="9">
        <v>0</v>
      </c>
      <c r="E433" s="7" t="s">
        <v>939</v>
      </c>
      <c r="F433" s="7" t="s">
        <v>686</v>
      </c>
      <c r="G433" s="9">
        <v>0</v>
      </c>
    </row>
    <row r="434" spans="2:7" hidden="1" outlineLevel="1" x14ac:dyDescent="0.25">
      <c r="B434" s="7" t="s">
        <v>592</v>
      </c>
      <c r="C434" s="7" t="s">
        <v>593</v>
      </c>
      <c r="D434" s="9">
        <v>0</v>
      </c>
      <c r="E434" s="7" t="s">
        <v>940</v>
      </c>
      <c r="F434" s="7" t="s">
        <v>686</v>
      </c>
      <c r="G434" s="9">
        <v>0</v>
      </c>
    </row>
    <row r="435" spans="2:7" hidden="1" outlineLevel="1" x14ac:dyDescent="0.25">
      <c r="B435" s="7" t="s">
        <v>594</v>
      </c>
      <c r="C435" s="7" t="s">
        <v>595</v>
      </c>
      <c r="D435" s="9">
        <v>0</v>
      </c>
      <c r="E435" s="7" t="s">
        <v>941</v>
      </c>
      <c r="F435" s="7" t="s">
        <v>686</v>
      </c>
      <c r="G435" s="9">
        <v>0</v>
      </c>
    </row>
    <row r="436" spans="2:7" hidden="1" outlineLevel="1" x14ac:dyDescent="0.25">
      <c r="B436" s="7" t="s">
        <v>596</v>
      </c>
      <c r="C436" s="7" t="s">
        <v>597</v>
      </c>
      <c r="D436" s="9">
        <v>0</v>
      </c>
      <c r="E436" s="7" t="s">
        <v>942</v>
      </c>
      <c r="F436" s="7" t="s">
        <v>686</v>
      </c>
      <c r="G436" s="9">
        <v>0</v>
      </c>
    </row>
    <row r="437" spans="2:7" hidden="1" outlineLevel="1" x14ac:dyDescent="0.25">
      <c r="B437" s="7" t="s">
        <v>598</v>
      </c>
      <c r="C437" s="7" t="s">
        <v>599</v>
      </c>
      <c r="D437" s="9">
        <v>0</v>
      </c>
      <c r="E437" s="7" t="s">
        <v>943</v>
      </c>
      <c r="F437" s="7" t="s">
        <v>686</v>
      </c>
      <c r="G437" s="9">
        <v>0</v>
      </c>
    </row>
    <row r="438" spans="2:7" hidden="1" outlineLevel="1" x14ac:dyDescent="0.25">
      <c r="B438" s="7" t="s">
        <v>600</v>
      </c>
      <c r="C438" s="7" t="s">
        <v>601</v>
      </c>
      <c r="D438" s="9">
        <v>0</v>
      </c>
      <c r="E438" s="7" t="s">
        <v>944</v>
      </c>
      <c r="F438" s="7" t="s">
        <v>686</v>
      </c>
      <c r="G438" s="9">
        <v>0</v>
      </c>
    </row>
    <row r="439" spans="2:7" hidden="1" outlineLevel="1" x14ac:dyDescent="0.25">
      <c r="B439" s="7" t="s">
        <v>602</v>
      </c>
      <c r="C439" s="7" t="s">
        <v>603</v>
      </c>
      <c r="D439" s="9">
        <v>0</v>
      </c>
      <c r="E439" s="7" t="s">
        <v>945</v>
      </c>
      <c r="F439" s="7" t="s">
        <v>686</v>
      </c>
      <c r="G439" s="9">
        <v>0</v>
      </c>
    </row>
    <row r="440" spans="2:7" hidden="1" outlineLevel="1" x14ac:dyDescent="0.25">
      <c r="B440" s="7" t="s">
        <v>604</v>
      </c>
      <c r="C440" s="7" t="s">
        <v>605</v>
      </c>
      <c r="D440" s="9">
        <v>0</v>
      </c>
      <c r="E440" s="7" t="s">
        <v>946</v>
      </c>
      <c r="F440" s="7" t="s">
        <v>686</v>
      </c>
      <c r="G440" s="9">
        <v>0</v>
      </c>
    </row>
    <row r="441" spans="2:7" hidden="1" outlineLevel="1" x14ac:dyDescent="0.25">
      <c r="B441" s="7" t="s">
        <v>606</v>
      </c>
      <c r="C441" s="7" t="s">
        <v>607</v>
      </c>
      <c r="D441" s="9">
        <v>0</v>
      </c>
      <c r="E441" s="7" t="s">
        <v>947</v>
      </c>
      <c r="F441" s="7" t="s">
        <v>686</v>
      </c>
      <c r="G441" s="9">
        <v>0</v>
      </c>
    </row>
    <row r="442" spans="2:7" hidden="1" outlineLevel="1" x14ac:dyDescent="0.25">
      <c r="B442" s="7" t="s">
        <v>608</v>
      </c>
      <c r="C442" s="7" t="s">
        <v>609</v>
      </c>
      <c r="D442" s="9">
        <v>0</v>
      </c>
      <c r="E442" s="7" t="s">
        <v>948</v>
      </c>
      <c r="F442" s="7" t="s">
        <v>686</v>
      </c>
      <c r="G442" s="9">
        <v>0</v>
      </c>
    </row>
    <row r="443" spans="2:7" hidden="1" outlineLevel="1" x14ac:dyDescent="0.25">
      <c r="B443" s="7" t="s">
        <v>610</v>
      </c>
      <c r="C443" s="7" t="s">
        <v>611</v>
      </c>
      <c r="D443" s="9">
        <v>0</v>
      </c>
      <c r="E443" s="7" t="s">
        <v>949</v>
      </c>
      <c r="F443" s="7" t="s">
        <v>686</v>
      </c>
      <c r="G443" s="9">
        <v>0</v>
      </c>
    </row>
    <row r="444" spans="2:7" hidden="1" outlineLevel="1" x14ac:dyDescent="0.25">
      <c r="B444" s="7" t="s">
        <v>612</v>
      </c>
      <c r="C444" s="7" t="s">
        <v>613</v>
      </c>
      <c r="D444" s="9">
        <v>1</v>
      </c>
      <c r="E444" s="7" t="s">
        <v>950</v>
      </c>
      <c r="F444" s="7" t="s">
        <v>693</v>
      </c>
      <c r="G444" s="9">
        <v>1</v>
      </c>
    </row>
    <row r="445" spans="2:7" hidden="1" outlineLevel="1" x14ac:dyDescent="0.25">
      <c r="B445" s="7" t="s">
        <v>614</v>
      </c>
      <c r="C445" s="7" t="s">
        <v>615</v>
      </c>
      <c r="D445" s="9">
        <v>0</v>
      </c>
      <c r="E445" s="7" t="s">
        <v>951</v>
      </c>
      <c r="F445" s="7" t="s">
        <v>686</v>
      </c>
      <c r="G445" s="9">
        <v>0</v>
      </c>
    </row>
    <row r="446" spans="2:7" hidden="1" outlineLevel="1" x14ac:dyDescent="0.25">
      <c r="B446" s="7" t="s">
        <v>616</v>
      </c>
      <c r="C446" s="7" t="s">
        <v>617</v>
      </c>
      <c r="D446" s="9">
        <v>0</v>
      </c>
      <c r="E446" s="7" t="s">
        <v>952</v>
      </c>
      <c r="F446" s="7" t="s">
        <v>686</v>
      </c>
      <c r="G446" s="9">
        <v>0</v>
      </c>
    </row>
    <row r="447" spans="2:7" hidden="1" outlineLevel="1" x14ac:dyDescent="0.25">
      <c r="B447" s="7" t="s">
        <v>618</v>
      </c>
      <c r="C447" s="7" t="s">
        <v>619</v>
      </c>
      <c r="D447" s="9">
        <v>0</v>
      </c>
      <c r="E447" s="7" t="s">
        <v>953</v>
      </c>
      <c r="F447" s="7" t="s">
        <v>686</v>
      </c>
      <c r="G447" s="9">
        <v>0</v>
      </c>
    </row>
    <row r="448" spans="2:7" hidden="1" outlineLevel="1" x14ac:dyDescent="0.25">
      <c r="B448" s="7" t="s">
        <v>620</v>
      </c>
      <c r="C448" s="7" t="s">
        <v>621</v>
      </c>
      <c r="D448" s="9">
        <v>0</v>
      </c>
      <c r="E448" s="7" t="s">
        <v>954</v>
      </c>
      <c r="F448" s="7" t="s">
        <v>686</v>
      </c>
      <c r="G448" s="9">
        <v>0</v>
      </c>
    </row>
    <row r="449" spans="2:7" hidden="1" outlineLevel="1" x14ac:dyDescent="0.25">
      <c r="B449" s="7" t="s">
        <v>622</v>
      </c>
      <c r="C449" s="7" t="s">
        <v>623</v>
      </c>
      <c r="D449" s="9">
        <v>0</v>
      </c>
      <c r="E449" s="7" t="s">
        <v>955</v>
      </c>
      <c r="F449" s="7" t="s">
        <v>686</v>
      </c>
      <c r="G449" s="9">
        <v>0</v>
      </c>
    </row>
    <row r="450" spans="2:7" hidden="1" outlineLevel="1" x14ac:dyDescent="0.25">
      <c r="B450" s="7" t="s">
        <v>624</v>
      </c>
      <c r="C450" s="7" t="s">
        <v>625</v>
      </c>
      <c r="D450" s="9">
        <v>0</v>
      </c>
      <c r="E450" s="7" t="s">
        <v>956</v>
      </c>
      <c r="F450" s="7" t="s">
        <v>686</v>
      </c>
      <c r="G450" s="9">
        <v>0</v>
      </c>
    </row>
    <row r="451" spans="2:7" hidden="1" outlineLevel="1" x14ac:dyDescent="0.25">
      <c r="B451" s="7" t="s">
        <v>626</v>
      </c>
      <c r="C451" s="7" t="s">
        <v>627</v>
      </c>
      <c r="D451" s="9">
        <v>0</v>
      </c>
      <c r="E451" s="7" t="s">
        <v>957</v>
      </c>
      <c r="F451" s="7" t="s">
        <v>686</v>
      </c>
      <c r="G451" s="9">
        <v>0</v>
      </c>
    </row>
    <row r="452" spans="2:7" hidden="1" outlineLevel="1" x14ac:dyDescent="0.25">
      <c r="B452" s="7" t="s">
        <v>628</v>
      </c>
      <c r="C452" s="7" t="s">
        <v>629</v>
      </c>
      <c r="D452" s="9">
        <v>0</v>
      </c>
      <c r="E452" s="7" t="s">
        <v>958</v>
      </c>
      <c r="F452" s="7" t="s">
        <v>686</v>
      </c>
      <c r="G452" s="9">
        <v>0</v>
      </c>
    </row>
    <row r="453" spans="2:7" hidden="1" outlineLevel="1" x14ac:dyDescent="0.25">
      <c r="B453" s="7" t="s">
        <v>630</v>
      </c>
      <c r="C453" s="7" t="s">
        <v>631</v>
      </c>
      <c r="D453" s="9">
        <v>0</v>
      </c>
      <c r="E453" s="7" t="s">
        <v>959</v>
      </c>
      <c r="F453" s="7" t="s">
        <v>686</v>
      </c>
      <c r="G453" s="9">
        <v>0</v>
      </c>
    </row>
    <row r="454" spans="2:7" hidden="1" outlineLevel="1" x14ac:dyDescent="0.25">
      <c r="B454" s="7" t="s">
        <v>632</v>
      </c>
      <c r="C454" s="7" t="s">
        <v>633</v>
      </c>
      <c r="D454" s="9">
        <v>0</v>
      </c>
      <c r="E454" s="7" t="s">
        <v>960</v>
      </c>
      <c r="F454" s="7" t="s">
        <v>686</v>
      </c>
      <c r="G454" s="9">
        <v>0</v>
      </c>
    </row>
    <row r="455" spans="2:7" hidden="1" outlineLevel="1" x14ac:dyDescent="0.25">
      <c r="B455" s="7" t="s">
        <v>634</v>
      </c>
      <c r="C455" s="7" t="s">
        <v>635</v>
      </c>
      <c r="D455" s="9">
        <v>0</v>
      </c>
      <c r="E455" s="7" t="s">
        <v>961</v>
      </c>
      <c r="F455" s="7" t="s">
        <v>686</v>
      </c>
      <c r="G455" s="9">
        <v>0</v>
      </c>
    </row>
    <row r="456" spans="2:7" hidden="1" outlineLevel="1" x14ac:dyDescent="0.25">
      <c r="B456" s="7" t="s">
        <v>636</v>
      </c>
      <c r="C456" s="7" t="s">
        <v>637</v>
      </c>
      <c r="D456" s="9">
        <v>0</v>
      </c>
      <c r="E456" s="7" t="s">
        <v>962</v>
      </c>
      <c r="F456" s="7" t="s">
        <v>686</v>
      </c>
      <c r="G456" s="9">
        <v>0</v>
      </c>
    </row>
    <row r="457" spans="2:7" hidden="1" outlineLevel="1" x14ac:dyDescent="0.25">
      <c r="B457" s="7" t="s">
        <v>638</v>
      </c>
      <c r="C457" s="7" t="s">
        <v>639</v>
      </c>
      <c r="D457" s="9">
        <v>0</v>
      </c>
      <c r="E457" s="7" t="s">
        <v>963</v>
      </c>
      <c r="F457" s="7" t="s">
        <v>686</v>
      </c>
      <c r="G457" s="9">
        <v>0</v>
      </c>
    </row>
    <row r="458" spans="2:7" hidden="1" outlineLevel="1" x14ac:dyDescent="0.25">
      <c r="B458" s="7" t="s">
        <v>640</v>
      </c>
      <c r="C458" s="7" t="s">
        <v>641</v>
      </c>
      <c r="D458" s="9">
        <v>0</v>
      </c>
      <c r="E458" s="7" t="s">
        <v>964</v>
      </c>
      <c r="F458" s="7" t="s">
        <v>686</v>
      </c>
      <c r="G458" s="9">
        <v>0</v>
      </c>
    </row>
    <row r="459" spans="2:7" hidden="1" outlineLevel="1" x14ac:dyDescent="0.25">
      <c r="B459" s="7" t="s">
        <v>642</v>
      </c>
      <c r="C459" s="7" t="s">
        <v>643</v>
      </c>
      <c r="D459" s="9">
        <v>0</v>
      </c>
      <c r="E459" s="7" t="s">
        <v>965</v>
      </c>
      <c r="F459" s="7" t="s">
        <v>686</v>
      </c>
      <c r="G459" s="9">
        <v>0</v>
      </c>
    </row>
    <row r="460" spans="2:7" hidden="1" outlineLevel="1" x14ac:dyDescent="0.25">
      <c r="B460" s="7" t="s">
        <v>644</v>
      </c>
      <c r="C460" s="7" t="s">
        <v>645</v>
      </c>
      <c r="D460" s="9">
        <v>1</v>
      </c>
      <c r="E460" s="7" t="s">
        <v>966</v>
      </c>
      <c r="F460" s="7" t="s">
        <v>693</v>
      </c>
      <c r="G460" s="9">
        <v>1</v>
      </c>
    </row>
    <row r="461" spans="2:7" hidden="1" outlineLevel="1" x14ac:dyDescent="0.25">
      <c r="B461" s="7" t="s">
        <v>646</v>
      </c>
      <c r="C461" s="7" t="s">
        <v>647</v>
      </c>
      <c r="D461" s="9">
        <v>0</v>
      </c>
      <c r="E461" s="7" t="s">
        <v>967</v>
      </c>
      <c r="F461" s="7" t="s">
        <v>686</v>
      </c>
      <c r="G461" s="9">
        <v>0</v>
      </c>
    </row>
    <row r="462" spans="2:7" hidden="1" outlineLevel="1" x14ac:dyDescent="0.25">
      <c r="B462" s="7" t="s">
        <v>648</v>
      </c>
      <c r="C462" s="7" t="s">
        <v>649</v>
      </c>
      <c r="D462" s="9">
        <v>0</v>
      </c>
      <c r="E462" s="7" t="s">
        <v>968</v>
      </c>
      <c r="F462" s="7" t="s">
        <v>686</v>
      </c>
      <c r="G462" s="9">
        <v>0</v>
      </c>
    </row>
    <row r="463" spans="2:7" hidden="1" outlineLevel="1" x14ac:dyDescent="0.25">
      <c r="B463" s="7" t="s">
        <v>650</v>
      </c>
      <c r="C463" s="7" t="s">
        <v>651</v>
      </c>
      <c r="D463" s="9">
        <v>0</v>
      </c>
      <c r="E463" s="7" t="s">
        <v>969</v>
      </c>
      <c r="F463" s="7" t="s">
        <v>686</v>
      </c>
      <c r="G463" s="9">
        <v>0</v>
      </c>
    </row>
    <row r="464" spans="2:7" hidden="1" outlineLevel="1" x14ac:dyDescent="0.25">
      <c r="B464" s="7" t="s">
        <v>652</v>
      </c>
      <c r="C464" s="7" t="s">
        <v>653</v>
      </c>
      <c r="D464" s="9">
        <v>0</v>
      </c>
      <c r="E464" s="7" t="s">
        <v>970</v>
      </c>
      <c r="F464" s="7" t="s">
        <v>686</v>
      </c>
      <c r="G464" s="9">
        <v>0</v>
      </c>
    </row>
    <row r="465" spans="2:7" hidden="1" outlineLevel="1" x14ac:dyDescent="0.25">
      <c r="B465" s="7" t="s">
        <v>654</v>
      </c>
      <c r="C465" s="7" t="s">
        <v>655</v>
      </c>
      <c r="D465" s="9">
        <v>0</v>
      </c>
      <c r="E465" s="7" t="s">
        <v>971</v>
      </c>
      <c r="F465" s="7" t="s">
        <v>686</v>
      </c>
      <c r="G465" s="9">
        <v>0</v>
      </c>
    </row>
    <row r="466" spans="2:7" hidden="1" outlineLevel="1" x14ac:dyDescent="0.25">
      <c r="B466" s="7" t="s">
        <v>656</v>
      </c>
      <c r="C466" s="7" t="s">
        <v>657</v>
      </c>
      <c r="D466" s="9">
        <v>0</v>
      </c>
      <c r="E466" s="7" t="s">
        <v>972</v>
      </c>
      <c r="F466" s="7" t="s">
        <v>686</v>
      </c>
      <c r="G466" s="9">
        <v>0</v>
      </c>
    </row>
    <row r="467" spans="2:7" hidden="1" outlineLevel="1" x14ac:dyDescent="0.25">
      <c r="B467" s="7" t="s">
        <v>658</v>
      </c>
      <c r="C467" s="7" t="s">
        <v>659</v>
      </c>
      <c r="D467" s="9">
        <v>0</v>
      </c>
      <c r="E467" s="7" t="s">
        <v>973</v>
      </c>
      <c r="F467" s="7" t="s">
        <v>686</v>
      </c>
      <c r="G467" s="9">
        <v>0</v>
      </c>
    </row>
    <row r="468" spans="2:7" hidden="1" outlineLevel="1" x14ac:dyDescent="0.25">
      <c r="B468" s="7" t="s">
        <v>660</v>
      </c>
      <c r="C468" s="7" t="s">
        <v>661</v>
      </c>
      <c r="D468" s="9">
        <v>0</v>
      </c>
      <c r="E468" s="7" t="s">
        <v>974</v>
      </c>
      <c r="F468" s="7" t="s">
        <v>686</v>
      </c>
      <c r="G468" s="9">
        <v>0</v>
      </c>
    </row>
    <row r="469" spans="2:7" hidden="1" outlineLevel="1" x14ac:dyDescent="0.25">
      <c r="B469" s="7" t="s">
        <v>662</v>
      </c>
      <c r="C469" s="7" t="s">
        <v>663</v>
      </c>
      <c r="D469" s="9">
        <v>0</v>
      </c>
      <c r="E469" s="7" t="s">
        <v>975</v>
      </c>
      <c r="F469" s="7" t="s">
        <v>686</v>
      </c>
      <c r="G469" s="9">
        <v>0</v>
      </c>
    </row>
    <row r="470" spans="2:7" hidden="1" outlineLevel="1" x14ac:dyDescent="0.25">
      <c r="B470" s="7" t="s">
        <v>664</v>
      </c>
      <c r="C470" s="7" t="s">
        <v>665</v>
      </c>
      <c r="D470" s="9">
        <v>0</v>
      </c>
      <c r="E470" s="7" t="s">
        <v>976</v>
      </c>
      <c r="F470" s="7" t="s">
        <v>686</v>
      </c>
      <c r="G470" s="9">
        <v>0</v>
      </c>
    </row>
    <row r="471" spans="2:7" hidden="1" outlineLevel="1" x14ac:dyDescent="0.25">
      <c r="B471" s="7" t="s">
        <v>666</v>
      </c>
      <c r="C471" s="7" t="s">
        <v>667</v>
      </c>
      <c r="D471" s="9">
        <v>0</v>
      </c>
      <c r="E471" s="7" t="s">
        <v>977</v>
      </c>
      <c r="F471" s="7" t="s">
        <v>686</v>
      </c>
      <c r="G471" s="9">
        <v>0</v>
      </c>
    </row>
    <row r="472" spans="2:7" hidden="1" outlineLevel="1" x14ac:dyDescent="0.25">
      <c r="B472" s="7" t="s">
        <v>668</v>
      </c>
      <c r="C472" s="7" t="s">
        <v>669</v>
      </c>
      <c r="D472" s="9">
        <v>0</v>
      </c>
      <c r="E472" s="7" t="s">
        <v>978</v>
      </c>
      <c r="F472" s="7" t="s">
        <v>686</v>
      </c>
      <c r="G472" s="9">
        <v>0</v>
      </c>
    </row>
    <row r="473" spans="2:7" hidden="1" outlineLevel="1" x14ac:dyDescent="0.25">
      <c r="B473" s="7" t="s">
        <v>670</v>
      </c>
      <c r="C473" s="7" t="s">
        <v>671</v>
      </c>
      <c r="D473" s="9">
        <v>0</v>
      </c>
      <c r="E473" s="7" t="s">
        <v>979</v>
      </c>
      <c r="F473" s="7" t="s">
        <v>686</v>
      </c>
      <c r="G473" s="9">
        <v>0</v>
      </c>
    </row>
    <row r="474" spans="2:7" hidden="1" outlineLevel="1" x14ac:dyDescent="0.25">
      <c r="B474" s="7" t="s">
        <v>672</v>
      </c>
      <c r="C474" s="7" t="s">
        <v>673</v>
      </c>
      <c r="D474" s="9">
        <v>0</v>
      </c>
      <c r="E474" s="7" t="s">
        <v>980</v>
      </c>
      <c r="F474" s="7" t="s">
        <v>686</v>
      </c>
      <c r="G474" s="9">
        <v>0</v>
      </c>
    </row>
    <row r="475" spans="2:7" hidden="1" outlineLevel="1" x14ac:dyDescent="0.25">
      <c r="B475" s="7" t="s">
        <v>674</v>
      </c>
      <c r="C475" s="7" t="s">
        <v>675</v>
      </c>
      <c r="D475" s="9">
        <v>0</v>
      </c>
      <c r="E475" s="7" t="s">
        <v>981</v>
      </c>
      <c r="F475" s="7" t="s">
        <v>686</v>
      </c>
      <c r="G475" s="9">
        <v>0</v>
      </c>
    </row>
    <row r="476" spans="2:7" hidden="1" outlineLevel="1" x14ac:dyDescent="0.25">
      <c r="B476" s="7" t="s">
        <v>676</v>
      </c>
      <c r="C476" s="7" t="s">
        <v>677</v>
      </c>
      <c r="D476" s="9">
        <v>0</v>
      </c>
      <c r="E476" s="7" t="s">
        <v>982</v>
      </c>
      <c r="F476" s="7" t="s">
        <v>686</v>
      </c>
      <c r="G476" s="9">
        <v>0</v>
      </c>
    </row>
    <row r="477" spans="2:7" hidden="1" outlineLevel="1" x14ac:dyDescent="0.25">
      <c r="B477" s="7" t="s">
        <v>678</v>
      </c>
      <c r="C477" s="7" t="s">
        <v>679</v>
      </c>
      <c r="D477" s="9">
        <v>0</v>
      </c>
      <c r="E477" s="7" t="s">
        <v>983</v>
      </c>
      <c r="F477" s="7" t="s">
        <v>686</v>
      </c>
      <c r="G477" s="9">
        <v>0</v>
      </c>
    </row>
    <row r="478" spans="2:7" hidden="1" outlineLevel="1" x14ac:dyDescent="0.25">
      <c r="B478" s="7" t="s">
        <v>680</v>
      </c>
      <c r="C478" s="7" t="s">
        <v>681</v>
      </c>
      <c r="D478" s="9">
        <v>0</v>
      </c>
      <c r="E478" s="7" t="s">
        <v>984</v>
      </c>
      <c r="F478" s="7" t="s">
        <v>686</v>
      </c>
      <c r="G478" s="9">
        <v>0</v>
      </c>
    </row>
    <row r="479" spans="2:7" hidden="1" outlineLevel="1" x14ac:dyDescent="0.25">
      <c r="B479" s="7" t="s">
        <v>682</v>
      </c>
      <c r="C479" s="7" t="s">
        <v>683</v>
      </c>
      <c r="D479" s="9">
        <v>0</v>
      </c>
      <c r="E479" s="7" t="s">
        <v>985</v>
      </c>
      <c r="F479" s="7" t="s">
        <v>686</v>
      </c>
      <c r="G479" s="9">
        <v>0</v>
      </c>
    </row>
    <row r="480" spans="2:7" collapsed="1" x14ac:dyDescent="0.25">
      <c r="B480" s="7"/>
      <c r="C480" s="7"/>
      <c r="D480" s="9"/>
      <c r="E480" s="7"/>
      <c r="F480" s="7"/>
      <c r="G480" s="9"/>
    </row>
    <row r="481" spans="2:7" x14ac:dyDescent="0.25">
      <c r="B481" s="13" t="s">
        <v>1390</v>
      </c>
      <c r="C481" s="7"/>
      <c r="D481" s="9"/>
      <c r="E481" s="7"/>
      <c r="F481" s="7"/>
      <c r="G481" s="9"/>
    </row>
    <row r="482" spans="2:7" hidden="1" outlineLevel="1" x14ac:dyDescent="0.25">
      <c r="B482" s="7" t="s">
        <v>284</v>
      </c>
      <c r="C482" s="7" t="s">
        <v>285</v>
      </c>
      <c r="D482" s="9">
        <v>0</v>
      </c>
      <c r="E482" s="7" t="s">
        <v>986</v>
      </c>
      <c r="F482" s="7" t="s">
        <v>693</v>
      </c>
      <c r="G482" s="7">
        <v>1</v>
      </c>
    </row>
    <row r="483" spans="2:7" hidden="1" outlineLevel="1" x14ac:dyDescent="0.25">
      <c r="B483" s="7" t="s">
        <v>286</v>
      </c>
      <c r="C483" s="7" t="s">
        <v>287</v>
      </c>
      <c r="D483" s="9">
        <v>0</v>
      </c>
      <c r="E483" s="7" t="s">
        <v>987</v>
      </c>
      <c r="F483" s="7" t="s">
        <v>693</v>
      </c>
      <c r="G483" s="7">
        <v>1</v>
      </c>
    </row>
    <row r="484" spans="2:7" hidden="1" outlineLevel="1" x14ac:dyDescent="0.25">
      <c r="B484" s="7" t="s">
        <v>288</v>
      </c>
      <c r="C484" s="7" t="s">
        <v>289</v>
      </c>
      <c r="D484" s="9">
        <v>1</v>
      </c>
      <c r="E484" s="7" t="s">
        <v>988</v>
      </c>
      <c r="F484" s="7" t="s">
        <v>686</v>
      </c>
      <c r="G484" s="7">
        <v>0</v>
      </c>
    </row>
    <row r="485" spans="2:7" hidden="1" outlineLevel="1" x14ac:dyDescent="0.25">
      <c r="B485" s="7" t="s">
        <v>290</v>
      </c>
      <c r="C485" s="7" t="s">
        <v>291</v>
      </c>
      <c r="D485" s="9">
        <v>0</v>
      </c>
      <c r="E485" s="7" t="s">
        <v>989</v>
      </c>
      <c r="F485" s="7" t="s">
        <v>693</v>
      </c>
      <c r="G485" s="7">
        <v>1</v>
      </c>
    </row>
    <row r="486" spans="2:7" hidden="1" outlineLevel="1" x14ac:dyDescent="0.25">
      <c r="B486" s="7" t="s">
        <v>292</v>
      </c>
      <c r="C486" s="7" t="s">
        <v>293</v>
      </c>
      <c r="D486" s="9">
        <v>0</v>
      </c>
      <c r="E486" s="7" t="s">
        <v>990</v>
      </c>
      <c r="F486" s="7" t="s">
        <v>693</v>
      </c>
      <c r="G486" s="7">
        <v>1</v>
      </c>
    </row>
    <row r="487" spans="2:7" hidden="1" outlineLevel="1" x14ac:dyDescent="0.25">
      <c r="B487" s="7" t="s">
        <v>294</v>
      </c>
      <c r="C487" s="7" t="s">
        <v>295</v>
      </c>
      <c r="D487" s="9">
        <v>0</v>
      </c>
      <c r="E487" s="7" t="s">
        <v>991</v>
      </c>
      <c r="F487" s="7" t="s">
        <v>693</v>
      </c>
      <c r="G487" s="7">
        <v>1</v>
      </c>
    </row>
    <row r="488" spans="2:7" hidden="1" outlineLevel="1" x14ac:dyDescent="0.25">
      <c r="B488" s="7" t="s">
        <v>296</v>
      </c>
      <c r="C488" s="7" t="s">
        <v>297</v>
      </c>
      <c r="D488" s="9">
        <v>0</v>
      </c>
      <c r="E488" s="7" t="s">
        <v>992</v>
      </c>
      <c r="F488" s="7" t="s">
        <v>693</v>
      </c>
      <c r="G488" s="7">
        <v>1</v>
      </c>
    </row>
    <row r="489" spans="2:7" hidden="1" outlineLevel="1" x14ac:dyDescent="0.25">
      <c r="B489" s="7" t="s">
        <v>298</v>
      </c>
      <c r="C489" s="7" t="s">
        <v>299</v>
      </c>
      <c r="D489" s="9">
        <v>0</v>
      </c>
      <c r="E489" s="7" t="s">
        <v>993</v>
      </c>
      <c r="F489" s="7" t="s">
        <v>693</v>
      </c>
      <c r="G489" s="7">
        <v>1</v>
      </c>
    </row>
    <row r="490" spans="2:7" hidden="1" outlineLevel="1" x14ac:dyDescent="0.25">
      <c r="B490" s="7" t="s">
        <v>300</v>
      </c>
      <c r="C490" s="7" t="s">
        <v>301</v>
      </c>
      <c r="D490" s="9">
        <v>0</v>
      </c>
      <c r="E490" s="7" t="s">
        <v>994</v>
      </c>
      <c r="F490" s="7" t="s">
        <v>693</v>
      </c>
      <c r="G490" s="7">
        <v>1</v>
      </c>
    </row>
    <row r="491" spans="2:7" hidden="1" outlineLevel="1" x14ac:dyDescent="0.25">
      <c r="B491" s="7" t="s">
        <v>302</v>
      </c>
      <c r="C491" s="7" t="s">
        <v>303</v>
      </c>
      <c r="D491" s="9">
        <v>1</v>
      </c>
      <c r="E491" s="7" t="s">
        <v>995</v>
      </c>
      <c r="F491" s="7" t="s">
        <v>686</v>
      </c>
      <c r="G491" s="7">
        <v>0</v>
      </c>
    </row>
    <row r="492" spans="2:7" hidden="1" outlineLevel="1" x14ac:dyDescent="0.25">
      <c r="B492" s="7" t="s">
        <v>304</v>
      </c>
      <c r="C492" s="7" t="s">
        <v>305</v>
      </c>
      <c r="D492" s="9">
        <v>0</v>
      </c>
      <c r="E492" s="7" t="s">
        <v>996</v>
      </c>
      <c r="F492" s="7" t="s">
        <v>693</v>
      </c>
      <c r="G492" s="7">
        <v>1</v>
      </c>
    </row>
    <row r="493" spans="2:7" hidden="1" outlineLevel="1" x14ac:dyDescent="0.25">
      <c r="B493" s="7" t="s">
        <v>306</v>
      </c>
      <c r="C493" s="7" t="s">
        <v>307</v>
      </c>
      <c r="D493" s="9">
        <v>0</v>
      </c>
      <c r="E493" s="7" t="s">
        <v>997</v>
      </c>
      <c r="F493" s="7" t="s">
        <v>693</v>
      </c>
      <c r="G493" s="7">
        <v>1</v>
      </c>
    </row>
    <row r="494" spans="2:7" hidden="1" outlineLevel="1" x14ac:dyDescent="0.25">
      <c r="B494" s="7" t="s">
        <v>308</v>
      </c>
      <c r="C494" s="7" t="s">
        <v>309</v>
      </c>
      <c r="D494" s="9">
        <v>0</v>
      </c>
      <c r="E494" s="7" t="s">
        <v>998</v>
      </c>
      <c r="F494" s="7" t="s">
        <v>693</v>
      </c>
      <c r="G494" s="7">
        <v>1</v>
      </c>
    </row>
    <row r="495" spans="2:7" hidden="1" outlineLevel="1" x14ac:dyDescent="0.25">
      <c r="B495" s="7" t="s">
        <v>310</v>
      </c>
      <c r="C495" s="7" t="s">
        <v>311</v>
      </c>
      <c r="D495" s="9">
        <v>1</v>
      </c>
      <c r="E495" s="7" t="s">
        <v>999</v>
      </c>
      <c r="F495" s="7" t="s">
        <v>686</v>
      </c>
      <c r="G495" s="7">
        <v>0</v>
      </c>
    </row>
    <row r="496" spans="2:7" hidden="1" outlineLevel="1" x14ac:dyDescent="0.25">
      <c r="B496" s="7" t="s">
        <v>312</v>
      </c>
      <c r="C496" s="7" t="s">
        <v>313</v>
      </c>
      <c r="D496" s="9">
        <v>0</v>
      </c>
      <c r="E496" s="7" t="s">
        <v>1000</v>
      </c>
      <c r="F496" s="7" t="s">
        <v>693</v>
      </c>
      <c r="G496" s="7">
        <v>1</v>
      </c>
    </row>
    <row r="497" spans="2:7" hidden="1" outlineLevel="1" x14ac:dyDescent="0.25">
      <c r="B497" s="7" t="s">
        <v>314</v>
      </c>
      <c r="C497" s="7" t="s">
        <v>315</v>
      </c>
      <c r="D497" s="9">
        <v>0</v>
      </c>
      <c r="E497" s="7" t="s">
        <v>1001</v>
      </c>
      <c r="F497" s="7" t="s">
        <v>693</v>
      </c>
      <c r="G497" s="7">
        <v>1</v>
      </c>
    </row>
    <row r="498" spans="2:7" hidden="1" outlineLevel="1" x14ac:dyDescent="0.25">
      <c r="B498" s="7" t="s">
        <v>316</v>
      </c>
      <c r="C498" s="7" t="s">
        <v>317</v>
      </c>
      <c r="D498" s="9">
        <v>1</v>
      </c>
      <c r="E498" s="7" t="s">
        <v>1002</v>
      </c>
      <c r="F498" s="7" t="s">
        <v>686</v>
      </c>
      <c r="G498" s="7">
        <v>0</v>
      </c>
    </row>
    <row r="499" spans="2:7" hidden="1" outlineLevel="1" x14ac:dyDescent="0.25">
      <c r="B499" s="7" t="s">
        <v>318</v>
      </c>
      <c r="C499" s="7" t="s">
        <v>319</v>
      </c>
      <c r="D499" s="9">
        <v>0</v>
      </c>
      <c r="E499" s="7" t="s">
        <v>1003</v>
      </c>
      <c r="F499" s="7" t="s">
        <v>693</v>
      </c>
      <c r="G499" s="7">
        <v>1</v>
      </c>
    </row>
    <row r="500" spans="2:7" hidden="1" outlineLevel="1" x14ac:dyDescent="0.25">
      <c r="B500" s="7" t="s">
        <v>320</v>
      </c>
      <c r="C500" s="7" t="s">
        <v>321</v>
      </c>
      <c r="D500" s="9">
        <v>0</v>
      </c>
      <c r="E500" s="7" t="s">
        <v>1004</v>
      </c>
      <c r="F500" s="7" t="s">
        <v>693</v>
      </c>
      <c r="G500" s="7">
        <v>1</v>
      </c>
    </row>
    <row r="501" spans="2:7" hidden="1" outlineLevel="1" x14ac:dyDescent="0.25">
      <c r="B501" s="7" t="s">
        <v>322</v>
      </c>
      <c r="C501" s="7" t="s">
        <v>323</v>
      </c>
      <c r="D501" s="9">
        <v>0</v>
      </c>
      <c r="E501" s="7" t="s">
        <v>1005</v>
      </c>
      <c r="F501" s="7" t="s">
        <v>693</v>
      </c>
      <c r="G501" s="7">
        <v>1</v>
      </c>
    </row>
    <row r="502" spans="2:7" hidden="1" outlineLevel="1" x14ac:dyDescent="0.25">
      <c r="B502" s="7" t="s">
        <v>324</v>
      </c>
      <c r="C502" s="7" t="s">
        <v>325</v>
      </c>
      <c r="D502" s="9">
        <v>0</v>
      </c>
      <c r="E502" s="7" t="s">
        <v>1006</v>
      </c>
      <c r="F502" s="7" t="s">
        <v>693</v>
      </c>
      <c r="G502" s="7">
        <v>1</v>
      </c>
    </row>
    <row r="503" spans="2:7" hidden="1" outlineLevel="1" x14ac:dyDescent="0.25">
      <c r="B503" s="7" t="s">
        <v>326</v>
      </c>
      <c r="C503" s="7" t="s">
        <v>327</v>
      </c>
      <c r="D503" s="9">
        <v>0</v>
      </c>
      <c r="E503" s="7" t="s">
        <v>1007</v>
      </c>
      <c r="F503" s="7" t="s">
        <v>693</v>
      </c>
      <c r="G503" s="7">
        <v>1</v>
      </c>
    </row>
    <row r="504" spans="2:7" hidden="1" outlineLevel="1" x14ac:dyDescent="0.25">
      <c r="B504" s="7" t="s">
        <v>328</v>
      </c>
      <c r="C504" s="7" t="s">
        <v>329</v>
      </c>
      <c r="D504" s="9">
        <v>0</v>
      </c>
      <c r="E504" s="7" t="s">
        <v>1008</v>
      </c>
      <c r="F504" s="7" t="s">
        <v>693</v>
      </c>
      <c r="G504" s="7">
        <v>1</v>
      </c>
    </row>
    <row r="505" spans="2:7" hidden="1" outlineLevel="1" x14ac:dyDescent="0.25">
      <c r="B505" s="7" t="s">
        <v>330</v>
      </c>
      <c r="C505" s="7" t="s">
        <v>331</v>
      </c>
      <c r="D505" s="9">
        <v>0</v>
      </c>
      <c r="E505" s="7" t="s">
        <v>1009</v>
      </c>
      <c r="F505" s="7" t="s">
        <v>693</v>
      </c>
      <c r="G505" s="7">
        <v>1</v>
      </c>
    </row>
    <row r="506" spans="2:7" hidden="1" outlineLevel="1" x14ac:dyDescent="0.25">
      <c r="B506" s="7" t="s">
        <v>332</v>
      </c>
      <c r="C506" s="7" t="s">
        <v>333</v>
      </c>
      <c r="D506" s="9">
        <v>0</v>
      </c>
      <c r="E506" s="7" t="s">
        <v>1010</v>
      </c>
      <c r="F506" s="7" t="s">
        <v>693</v>
      </c>
      <c r="G506" s="7">
        <v>1</v>
      </c>
    </row>
    <row r="507" spans="2:7" hidden="1" outlineLevel="1" x14ac:dyDescent="0.25">
      <c r="B507" s="7" t="s">
        <v>334</v>
      </c>
      <c r="C507" s="7" t="s">
        <v>335</v>
      </c>
      <c r="D507" s="9">
        <v>0</v>
      </c>
      <c r="E507" s="7" t="s">
        <v>1011</v>
      </c>
      <c r="F507" s="7" t="s">
        <v>693</v>
      </c>
      <c r="G507" s="7">
        <v>1</v>
      </c>
    </row>
    <row r="508" spans="2:7" hidden="1" outlineLevel="1" x14ac:dyDescent="0.25">
      <c r="B508" s="7" t="s">
        <v>336</v>
      </c>
      <c r="C508" s="7" t="s">
        <v>337</v>
      </c>
      <c r="D508" s="9">
        <v>0</v>
      </c>
      <c r="E508" s="7" t="s">
        <v>1012</v>
      </c>
      <c r="F508" s="7" t="s">
        <v>693</v>
      </c>
      <c r="G508" s="7">
        <v>1</v>
      </c>
    </row>
    <row r="509" spans="2:7" hidden="1" outlineLevel="1" x14ac:dyDescent="0.25">
      <c r="B509" s="7" t="s">
        <v>338</v>
      </c>
      <c r="C509" s="7" t="s">
        <v>339</v>
      </c>
      <c r="D509" s="9">
        <v>0</v>
      </c>
      <c r="E509" s="7" t="s">
        <v>1013</v>
      </c>
      <c r="F509" s="7" t="s">
        <v>693</v>
      </c>
      <c r="G509" s="7">
        <v>1</v>
      </c>
    </row>
    <row r="510" spans="2:7" hidden="1" outlineLevel="1" x14ac:dyDescent="0.25">
      <c r="B510" s="7" t="s">
        <v>340</v>
      </c>
      <c r="C510" s="7" t="s">
        <v>341</v>
      </c>
      <c r="D510" s="9">
        <v>0</v>
      </c>
      <c r="E510" s="7" t="s">
        <v>1014</v>
      </c>
      <c r="F510" s="7" t="s">
        <v>693</v>
      </c>
      <c r="G510" s="7">
        <v>1</v>
      </c>
    </row>
    <row r="511" spans="2:7" hidden="1" outlineLevel="1" x14ac:dyDescent="0.25">
      <c r="B511" s="7" t="s">
        <v>342</v>
      </c>
      <c r="C511" s="7" t="s">
        <v>343</v>
      </c>
      <c r="D511" s="9">
        <v>0</v>
      </c>
      <c r="E511" s="7" t="s">
        <v>1015</v>
      </c>
      <c r="F511" s="7" t="s">
        <v>693</v>
      </c>
      <c r="G511" s="7">
        <v>1</v>
      </c>
    </row>
    <row r="512" spans="2:7" hidden="1" outlineLevel="1" x14ac:dyDescent="0.25">
      <c r="B512" s="7" t="s">
        <v>344</v>
      </c>
      <c r="C512" s="7" t="s">
        <v>345</v>
      </c>
      <c r="D512" s="9">
        <v>0</v>
      </c>
      <c r="E512" s="7" t="s">
        <v>1016</v>
      </c>
      <c r="F512" s="7" t="s">
        <v>693</v>
      </c>
      <c r="G512" s="7">
        <v>1</v>
      </c>
    </row>
    <row r="513" spans="2:7" hidden="1" outlineLevel="1" x14ac:dyDescent="0.25">
      <c r="B513" s="7" t="s">
        <v>346</v>
      </c>
      <c r="C513" s="7" t="s">
        <v>347</v>
      </c>
      <c r="D513" s="9">
        <v>0</v>
      </c>
      <c r="E513" s="7" t="s">
        <v>1017</v>
      </c>
      <c r="F513" s="7" t="s">
        <v>693</v>
      </c>
      <c r="G513" s="7">
        <v>1</v>
      </c>
    </row>
    <row r="514" spans="2:7" hidden="1" outlineLevel="1" x14ac:dyDescent="0.25">
      <c r="B514" s="7" t="s">
        <v>348</v>
      </c>
      <c r="C514" s="7" t="s">
        <v>349</v>
      </c>
      <c r="D514" s="9">
        <v>0</v>
      </c>
      <c r="E514" s="7" t="s">
        <v>1018</v>
      </c>
      <c r="F514" s="7" t="s">
        <v>693</v>
      </c>
      <c r="G514" s="7">
        <v>1</v>
      </c>
    </row>
    <row r="515" spans="2:7" hidden="1" outlineLevel="1" x14ac:dyDescent="0.25">
      <c r="B515" s="7" t="s">
        <v>350</v>
      </c>
      <c r="C515" s="7" t="s">
        <v>351</v>
      </c>
      <c r="D515" s="9">
        <v>0</v>
      </c>
      <c r="E515" s="7" t="s">
        <v>1019</v>
      </c>
      <c r="F515" s="7" t="s">
        <v>693</v>
      </c>
      <c r="G515" s="7">
        <v>1</v>
      </c>
    </row>
    <row r="516" spans="2:7" hidden="1" outlineLevel="1" x14ac:dyDescent="0.25">
      <c r="B516" s="7" t="s">
        <v>352</v>
      </c>
      <c r="C516" s="7" t="s">
        <v>353</v>
      </c>
      <c r="D516" s="9">
        <v>0</v>
      </c>
      <c r="E516" s="7" t="s">
        <v>1020</v>
      </c>
      <c r="F516" s="7" t="s">
        <v>693</v>
      </c>
      <c r="G516" s="7">
        <v>1</v>
      </c>
    </row>
    <row r="517" spans="2:7" hidden="1" outlineLevel="1" x14ac:dyDescent="0.25">
      <c r="B517" s="7" t="s">
        <v>354</v>
      </c>
      <c r="C517" s="7" t="s">
        <v>355</v>
      </c>
      <c r="D517" s="9">
        <v>0</v>
      </c>
      <c r="E517" s="7" t="s">
        <v>1021</v>
      </c>
      <c r="F517" s="7" t="s">
        <v>693</v>
      </c>
      <c r="G517" s="7">
        <v>1</v>
      </c>
    </row>
    <row r="518" spans="2:7" hidden="1" outlineLevel="1" x14ac:dyDescent="0.25">
      <c r="B518" s="7" t="s">
        <v>356</v>
      </c>
      <c r="C518" s="7" t="s">
        <v>357</v>
      </c>
      <c r="D518" s="9">
        <v>0</v>
      </c>
      <c r="E518" s="7" t="s">
        <v>1022</v>
      </c>
      <c r="F518" s="7" t="s">
        <v>693</v>
      </c>
      <c r="G518" s="7">
        <v>1</v>
      </c>
    </row>
    <row r="519" spans="2:7" hidden="1" outlineLevel="1" x14ac:dyDescent="0.25">
      <c r="B519" s="7" t="s">
        <v>358</v>
      </c>
      <c r="C519" s="7" t="s">
        <v>359</v>
      </c>
      <c r="D519" s="9">
        <v>0</v>
      </c>
      <c r="E519" s="7" t="s">
        <v>1023</v>
      </c>
      <c r="F519" s="7" t="s">
        <v>693</v>
      </c>
      <c r="G519" s="7">
        <v>1</v>
      </c>
    </row>
    <row r="520" spans="2:7" hidden="1" outlineLevel="1" x14ac:dyDescent="0.25">
      <c r="B520" s="7" t="s">
        <v>360</v>
      </c>
      <c r="C520" s="7" t="s">
        <v>361</v>
      </c>
      <c r="D520" s="9">
        <v>0</v>
      </c>
      <c r="E520" s="7" t="s">
        <v>1024</v>
      </c>
      <c r="F520" s="7" t="s">
        <v>693</v>
      </c>
      <c r="G520" s="7">
        <v>1</v>
      </c>
    </row>
    <row r="521" spans="2:7" hidden="1" outlineLevel="1" x14ac:dyDescent="0.25">
      <c r="B521" s="7" t="s">
        <v>362</v>
      </c>
      <c r="C521" s="7" t="s">
        <v>363</v>
      </c>
      <c r="D521" s="9">
        <v>0</v>
      </c>
      <c r="E521" s="7" t="s">
        <v>1025</v>
      </c>
      <c r="F521" s="7" t="s">
        <v>693</v>
      </c>
      <c r="G521" s="7">
        <v>1</v>
      </c>
    </row>
    <row r="522" spans="2:7" hidden="1" outlineLevel="1" x14ac:dyDescent="0.25">
      <c r="B522" s="7" t="s">
        <v>364</v>
      </c>
      <c r="C522" s="7" t="s">
        <v>365</v>
      </c>
      <c r="D522" s="9">
        <v>0</v>
      </c>
      <c r="E522" s="7" t="s">
        <v>1026</v>
      </c>
      <c r="F522" s="7" t="s">
        <v>693</v>
      </c>
      <c r="G522" s="7">
        <v>1</v>
      </c>
    </row>
    <row r="523" spans="2:7" hidden="1" outlineLevel="1" x14ac:dyDescent="0.25">
      <c r="B523" s="7" t="s">
        <v>366</v>
      </c>
      <c r="C523" s="7" t="s">
        <v>367</v>
      </c>
      <c r="D523" s="9">
        <v>0</v>
      </c>
      <c r="E523" s="7" t="s">
        <v>1027</v>
      </c>
      <c r="F523" s="7" t="s">
        <v>693</v>
      </c>
      <c r="G523" s="7">
        <v>1</v>
      </c>
    </row>
    <row r="524" spans="2:7" hidden="1" outlineLevel="1" x14ac:dyDescent="0.25">
      <c r="B524" s="7" t="s">
        <v>368</v>
      </c>
      <c r="C524" s="7" t="s">
        <v>369</v>
      </c>
      <c r="D524" s="9">
        <v>0</v>
      </c>
      <c r="E524" s="7" t="s">
        <v>1028</v>
      </c>
      <c r="F524" s="7" t="s">
        <v>693</v>
      </c>
      <c r="G524" s="7">
        <v>1</v>
      </c>
    </row>
    <row r="525" spans="2:7" hidden="1" outlineLevel="1" x14ac:dyDescent="0.25">
      <c r="B525" s="7" t="s">
        <v>370</v>
      </c>
      <c r="C525" s="7" t="s">
        <v>371</v>
      </c>
      <c r="D525" s="9">
        <v>0</v>
      </c>
      <c r="E525" s="7" t="s">
        <v>1029</v>
      </c>
      <c r="F525" s="7" t="s">
        <v>693</v>
      </c>
      <c r="G525" s="7">
        <v>1</v>
      </c>
    </row>
    <row r="526" spans="2:7" hidden="1" outlineLevel="1" x14ac:dyDescent="0.25">
      <c r="B526" s="7" t="s">
        <v>372</v>
      </c>
      <c r="C526" s="7" t="s">
        <v>373</v>
      </c>
      <c r="D526" s="9">
        <v>0</v>
      </c>
      <c r="E526" s="7" t="s">
        <v>1030</v>
      </c>
      <c r="F526" s="7" t="s">
        <v>693</v>
      </c>
      <c r="G526" s="7">
        <v>1</v>
      </c>
    </row>
    <row r="527" spans="2:7" hidden="1" outlineLevel="1" x14ac:dyDescent="0.25">
      <c r="B527" s="7" t="s">
        <v>374</v>
      </c>
      <c r="C527" s="7" t="s">
        <v>375</v>
      </c>
      <c r="D527" s="9">
        <v>0</v>
      </c>
      <c r="E527" s="7" t="s">
        <v>1031</v>
      </c>
      <c r="F527" s="7" t="s">
        <v>693</v>
      </c>
      <c r="G527" s="7">
        <v>1</v>
      </c>
    </row>
    <row r="528" spans="2:7" hidden="1" outlineLevel="1" x14ac:dyDescent="0.25">
      <c r="B528" s="7" t="s">
        <v>376</v>
      </c>
      <c r="C528" s="7" t="s">
        <v>377</v>
      </c>
      <c r="D528" s="9">
        <v>0</v>
      </c>
      <c r="E528" s="7" t="s">
        <v>1032</v>
      </c>
      <c r="F528" s="7" t="s">
        <v>693</v>
      </c>
      <c r="G528" s="7">
        <v>1</v>
      </c>
    </row>
    <row r="529" spans="2:7" hidden="1" outlineLevel="1" x14ac:dyDescent="0.25">
      <c r="B529" s="7" t="s">
        <v>378</v>
      </c>
      <c r="C529" s="7" t="s">
        <v>379</v>
      </c>
      <c r="D529" s="9">
        <v>0</v>
      </c>
      <c r="E529" s="7" t="s">
        <v>1033</v>
      </c>
      <c r="F529" s="7" t="s">
        <v>693</v>
      </c>
      <c r="G529" s="7">
        <v>1</v>
      </c>
    </row>
    <row r="530" spans="2:7" hidden="1" outlineLevel="1" x14ac:dyDescent="0.25">
      <c r="B530" s="7" t="s">
        <v>380</v>
      </c>
      <c r="C530" s="7" t="s">
        <v>381</v>
      </c>
      <c r="D530" s="9">
        <v>0</v>
      </c>
      <c r="E530" s="7" t="s">
        <v>1034</v>
      </c>
      <c r="F530" s="7" t="s">
        <v>693</v>
      </c>
      <c r="G530" s="7">
        <v>1</v>
      </c>
    </row>
    <row r="531" spans="2:7" hidden="1" outlineLevel="1" x14ac:dyDescent="0.25">
      <c r="B531" s="7" t="s">
        <v>382</v>
      </c>
      <c r="C531" s="7" t="s">
        <v>383</v>
      </c>
      <c r="D531" s="9">
        <v>0</v>
      </c>
      <c r="E531" s="7" t="s">
        <v>1035</v>
      </c>
      <c r="F531" s="7" t="s">
        <v>693</v>
      </c>
      <c r="G531" s="7">
        <v>1</v>
      </c>
    </row>
    <row r="532" spans="2:7" hidden="1" outlineLevel="1" x14ac:dyDescent="0.25">
      <c r="B532" s="7" t="s">
        <v>384</v>
      </c>
      <c r="C532" s="7" t="s">
        <v>385</v>
      </c>
      <c r="D532" s="9">
        <v>0</v>
      </c>
      <c r="E532" s="7" t="s">
        <v>1036</v>
      </c>
      <c r="F532" s="7" t="s">
        <v>693</v>
      </c>
      <c r="G532" s="7">
        <v>1</v>
      </c>
    </row>
    <row r="533" spans="2:7" hidden="1" outlineLevel="1" x14ac:dyDescent="0.25">
      <c r="B533" s="7" t="s">
        <v>386</v>
      </c>
      <c r="C533" s="7" t="s">
        <v>387</v>
      </c>
      <c r="D533" s="9">
        <v>0</v>
      </c>
      <c r="E533" s="7" t="s">
        <v>1037</v>
      </c>
      <c r="F533" s="7" t="s">
        <v>693</v>
      </c>
      <c r="G533" s="7">
        <v>1</v>
      </c>
    </row>
    <row r="534" spans="2:7" hidden="1" outlineLevel="1" x14ac:dyDescent="0.25">
      <c r="B534" s="7" t="s">
        <v>388</v>
      </c>
      <c r="C534" s="7" t="s">
        <v>389</v>
      </c>
      <c r="D534" s="9">
        <v>0</v>
      </c>
      <c r="E534" s="7" t="s">
        <v>1038</v>
      </c>
      <c r="F534" s="7" t="s">
        <v>693</v>
      </c>
      <c r="G534" s="7">
        <v>1</v>
      </c>
    </row>
    <row r="535" spans="2:7" hidden="1" outlineLevel="1" x14ac:dyDescent="0.25">
      <c r="B535" s="7" t="s">
        <v>390</v>
      </c>
      <c r="C535" s="7" t="s">
        <v>391</v>
      </c>
      <c r="D535" s="9">
        <v>0</v>
      </c>
      <c r="E535" s="7" t="s">
        <v>1039</v>
      </c>
      <c r="F535" s="7" t="s">
        <v>693</v>
      </c>
      <c r="G535" s="7">
        <v>1</v>
      </c>
    </row>
    <row r="536" spans="2:7" hidden="1" outlineLevel="1" x14ac:dyDescent="0.25">
      <c r="B536" s="7" t="s">
        <v>392</v>
      </c>
      <c r="C536" s="7" t="s">
        <v>393</v>
      </c>
      <c r="D536" s="9">
        <v>0</v>
      </c>
      <c r="E536" s="7" t="s">
        <v>1040</v>
      </c>
      <c r="F536" s="7" t="s">
        <v>693</v>
      </c>
      <c r="G536" s="7">
        <v>1</v>
      </c>
    </row>
    <row r="537" spans="2:7" hidden="1" outlineLevel="1" x14ac:dyDescent="0.25">
      <c r="B537" s="7" t="s">
        <v>394</v>
      </c>
      <c r="C537" s="7" t="s">
        <v>395</v>
      </c>
      <c r="D537" s="9">
        <v>0</v>
      </c>
      <c r="E537" s="7" t="s">
        <v>1041</v>
      </c>
      <c r="F537" s="7" t="s">
        <v>693</v>
      </c>
      <c r="G537" s="7">
        <v>1</v>
      </c>
    </row>
    <row r="538" spans="2:7" hidden="1" outlineLevel="1" x14ac:dyDescent="0.25">
      <c r="B538" s="7" t="s">
        <v>396</v>
      </c>
      <c r="C538" s="7" t="s">
        <v>397</v>
      </c>
      <c r="D538" s="9">
        <v>0</v>
      </c>
      <c r="E538" s="7" t="s">
        <v>1042</v>
      </c>
      <c r="F538" s="7" t="s">
        <v>693</v>
      </c>
      <c r="G538" s="7">
        <v>1</v>
      </c>
    </row>
    <row r="539" spans="2:7" hidden="1" outlineLevel="1" x14ac:dyDescent="0.25">
      <c r="B539" s="7" t="s">
        <v>398</v>
      </c>
      <c r="C539" s="7" t="s">
        <v>399</v>
      </c>
      <c r="D539" s="9">
        <v>0</v>
      </c>
      <c r="E539" s="7" t="s">
        <v>1043</v>
      </c>
      <c r="F539" s="7" t="s">
        <v>693</v>
      </c>
      <c r="G539" s="7">
        <v>1</v>
      </c>
    </row>
    <row r="540" spans="2:7" hidden="1" outlineLevel="1" x14ac:dyDescent="0.25">
      <c r="B540" s="7" t="s">
        <v>400</v>
      </c>
      <c r="C540" s="7" t="s">
        <v>401</v>
      </c>
      <c r="D540" s="9">
        <v>0</v>
      </c>
      <c r="E540" s="7" t="s">
        <v>1044</v>
      </c>
      <c r="F540" s="7" t="s">
        <v>693</v>
      </c>
      <c r="G540" s="7">
        <v>1</v>
      </c>
    </row>
    <row r="541" spans="2:7" hidden="1" outlineLevel="1" x14ac:dyDescent="0.25">
      <c r="B541" s="7" t="s">
        <v>402</v>
      </c>
      <c r="C541" s="7" t="s">
        <v>403</v>
      </c>
      <c r="D541" s="9">
        <v>0</v>
      </c>
      <c r="E541" s="7" t="s">
        <v>1045</v>
      </c>
      <c r="F541" s="7" t="s">
        <v>693</v>
      </c>
      <c r="G541" s="7">
        <v>1</v>
      </c>
    </row>
    <row r="542" spans="2:7" hidden="1" outlineLevel="1" x14ac:dyDescent="0.25">
      <c r="B542" s="7" t="s">
        <v>404</v>
      </c>
      <c r="C542" s="7" t="s">
        <v>405</v>
      </c>
      <c r="D542" s="9">
        <v>1</v>
      </c>
      <c r="E542" s="7" t="s">
        <v>1046</v>
      </c>
      <c r="F542" s="7" t="s">
        <v>686</v>
      </c>
      <c r="G542" s="7">
        <v>0</v>
      </c>
    </row>
    <row r="543" spans="2:7" hidden="1" outlineLevel="1" x14ac:dyDescent="0.25">
      <c r="B543" s="7" t="s">
        <v>406</v>
      </c>
      <c r="C543" s="7" t="s">
        <v>407</v>
      </c>
      <c r="D543" s="9">
        <v>0</v>
      </c>
      <c r="E543" s="7" t="s">
        <v>1047</v>
      </c>
      <c r="F543" s="7" t="s">
        <v>693</v>
      </c>
      <c r="G543" s="7">
        <v>1</v>
      </c>
    </row>
    <row r="544" spans="2:7" hidden="1" outlineLevel="1" x14ac:dyDescent="0.25">
      <c r="B544" s="7" t="s">
        <v>408</v>
      </c>
      <c r="C544" s="7" t="s">
        <v>409</v>
      </c>
      <c r="D544" s="9">
        <v>0</v>
      </c>
      <c r="E544" s="7" t="s">
        <v>1048</v>
      </c>
      <c r="F544" s="7" t="s">
        <v>693</v>
      </c>
      <c r="G544" s="7">
        <v>1</v>
      </c>
    </row>
    <row r="545" spans="2:7" hidden="1" outlineLevel="1" x14ac:dyDescent="0.25">
      <c r="B545" s="7" t="s">
        <v>410</v>
      </c>
      <c r="C545" s="7" t="s">
        <v>411</v>
      </c>
      <c r="D545" s="9">
        <v>0</v>
      </c>
      <c r="E545" s="7" t="s">
        <v>1049</v>
      </c>
      <c r="F545" s="7" t="s">
        <v>693</v>
      </c>
      <c r="G545" s="7">
        <v>1</v>
      </c>
    </row>
    <row r="546" spans="2:7" hidden="1" outlineLevel="1" x14ac:dyDescent="0.25">
      <c r="B546" s="7" t="s">
        <v>412</v>
      </c>
      <c r="C546" s="7" t="s">
        <v>413</v>
      </c>
      <c r="D546" s="9">
        <v>0</v>
      </c>
      <c r="E546" s="7" t="s">
        <v>1050</v>
      </c>
      <c r="F546" s="7" t="s">
        <v>693</v>
      </c>
      <c r="G546" s="7">
        <v>1</v>
      </c>
    </row>
    <row r="547" spans="2:7" hidden="1" outlineLevel="1" x14ac:dyDescent="0.25">
      <c r="B547" s="7" t="s">
        <v>414</v>
      </c>
      <c r="C547" s="7" t="s">
        <v>415</v>
      </c>
      <c r="D547" s="9">
        <v>0</v>
      </c>
      <c r="E547" s="7" t="s">
        <v>1051</v>
      </c>
      <c r="F547" s="7" t="s">
        <v>693</v>
      </c>
      <c r="G547" s="7">
        <v>1</v>
      </c>
    </row>
    <row r="548" spans="2:7" hidden="1" outlineLevel="1" x14ac:dyDescent="0.25">
      <c r="B548" s="7" t="s">
        <v>416</v>
      </c>
      <c r="C548" s="7" t="s">
        <v>417</v>
      </c>
      <c r="D548" s="9">
        <v>0</v>
      </c>
      <c r="E548" s="7" t="s">
        <v>1052</v>
      </c>
      <c r="F548" s="7" t="s">
        <v>693</v>
      </c>
      <c r="G548" s="7">
        <v>1</v>
      </c>
    </row>
    <row r="549" spans="2:7" hidden="1" outlineLevel="1" x14ac:dyDescent="0.25">
      <c r="B549" s="7" t="s">
        <v>418</v>
      </c>
      <c r="C549" s="7" t="s">
        <v>419</v>
      </c>
      <c r="D549" s="9">
        <v>0</v>
      </c>
      <c r="E549" s="7" t="s">
        <v>1053</v>
      </c>
      <c r="F549" s="7" t="s">
        <v>693</v>
      </c>
      <c r="G549" s="7">
        <v>1</v>
      </c>
    </row>
    <row r="550" spans="2:7" hidden="1" outlineLevel="1" x14ac:dyDescent="0.25">
      <c r="B550" s="7" t="s">
        <v>420</v>
      </c>
      <c r="C550" s="7" t="s">
        <v>421</v>
      </c>
      <c r="D550" s="9">
        <v>0</v>
      </c>
      <c r="E550" s="7" t="s">
        <v>1054</v>
      </c>
      <c r="F550" s="7" t="s">
        <v>693</v>
      </c>
      <c r="G550" s="7">
        <v>1</v>
      </c>
    </row>
    <row r="551" spans="2:7" hidden="1" outlineLevel="1" x14ac:dyDescent="0.25">
      <c r="B551" s="7" t="s">
        <v>422</v>
      </c>
      <c r="C551" s="7" t="s">
        <v>423</v>
      </c>
      <c r="D551" s="9">
        <v>1</v>
      </c>
      <c r="E551" s="7" t="s">
        <v>1055</v>
      </c>
      <c r="F551" s="7" t="s">
        <v>686</v>
      </c>
      <c r="G551" s="7">
        <v>0</v>
      </c>
    </row>
    <row r="552" spans="2:7" hidden="1" outlineLevel="1" x14ac:dyDescent="0.25">
      <c r="B552" s="7" t="s">
        <v>424</v>
      </c>
      <c r="C552" s="7" t="s">
        <v>425</v>
      </c>
      <c r="D552" s="9">
        <v>0</v>
      </c>
      <c r="E552" s="7" t="s">
        <v>1056</v>
      </c>
      <c r="F552" s="7" t="s">
        <v>693</v>
      </c>
      <c r="G552" s="7">
        <v>1</v>
      </c>
    </row>
    <row r="553" spans="2:7" hidden="1" outlineLevel="1" x14ac:dyDescent="0.25">
      <c r="B553" s="7" t="s">
        <v>426</v>
      </c>
      <c r="C553" s="7" t="s">
        <v>427</v>
      </c>
      <c r="D553" s="9">
        <v>0</v>
      </c>
      <c r="E553" s="7" t="s">
        <v>1057</v>
      </c>
      <c r="F553" s="7" t="s">
        <v>693</v>
      </c>
      <c r="G553" s="7">
        <v>1</v>
      </c>
    </row>
    <row r="554" spans="2:7" hidden="1" outlineLevel="1" x14ac:dyDescent="0.25">
      <c r="B554" s="7" t="s">
        <v>428</v>
      </c>
      <c r="C554" s="7" t="s">
        <v>429</v>
      </c>
      <c r="D554" s="9">
        <v>0</v>
      </c>
      <c r="E554" s="7" t="s">
        <v>1058</v>
      </c>
      <c r="F554" s="7" t="s">
        <v>693</v>
      </c>
      <c r="G554" s="7">
        <v>1</v>
      </c>
    </row>
    <row r="555" spans="2:7" hidden="1" outlineLevel="1" x14ac:dyDescent="0.25">
      <c r="B555" s="7" t="s">
        <v>430</v>
      </c>
      <c r="C555" s="7" t="s">
        <v>431</v>
      </c>
      <c r="D555" s="9">
        <v>0</v>
      </c>
      <c r="E555" s="7" t="s">
        <v>1059</v>
      </c>
      <c r="F555" s="7" t="s">
        <v>693</v>
      </c>
      <c r="G555" s="7">
        <v>1</v>
      </c>
    </row>
    <row r="556" spans="2:7" hidden="1" outlineLevel="1" x14ac:dyDescent="0.25">
      <c r="B556" s="7" t="s">
        <v>432</v>
      </c>
      <c r="C556" s="7" t="s">
        <v>433</v>
      </c>
      <c r="D556" s="9">
        <v>0</v>
      </c>
      <c r="E556" s="7" t="s">
        <v>1060</v>
      </c>
      <c r="F556" s="7" t="s">
        <v>693</v>
      </c>
      <c r="G556" s="7">
        <v>1</v>
      </c>
    </row>
    <row r="557" spans="2:7" hidden="1" outlineLevel="1" x14ac:dyDescent="0.25">
      <c r="B557" s="7" t="s">
        <v>434</v>
      </c>
      <c r="C557" s="7" t="s">
        <v>435</v>
      </c>
      <c r="D557" s="9">
        <v>0</v>
      </c>
      <c r="E557" s="7" t="s">
        <v>1061</v>
      </c>
      <c r="F557" s="7" t="s">
        <v>693</v>
      </c>
      <c r="G557" s="7">
        <v>1</v>
      </c>
    </row>
    <row r="558" spans="2:7" hidden="1" outlineLevel="1" x14ac:dyDescent="0.25">
      <c r="B558" s="7" t="s">
        <v>436</v>
      </c>
      <c r="C558" s="7" t="s">
        <v>437</v>
      </c>
      <c r="D558" s="9">
        <v>0</v>
      </c>
      <c r="E558" s="7" t="s">
        <v>1062</v>
      </c>
      <c r="F558" s="7" t="s">
        <v>693</v>
      </c>
      <c r="G558" s="7">
        <v>1</v>
      </c>
    </row>
    <row r="559" spans="2:7" hidden="1" outlineLevel="1" x14ac:dyDescent="0.25">
      <c r="B559" s="7" t="s">
        <v>438</v>
      </c>
      <c r="C559" s="7" t="s">
        <v>439</v>
      </c>
      <c r="D559" s="9">
        <v>0</v>
      </c>
      <c r="E559" s="7" t="s">
        <v>1063</v>
      </c>
      <c r="F559" s="7" t="s">
        <v>693</v>
      </c>
      <c r="G559" s="7">
        <v>1</v>
      </c>
    </row>
    <row r="560" spans="2:7" hidden="1" outlineLevel="1" x14ac:dyDescent="0.25">
      <c r="B560" s="7" t="s">
        <v>440</v>
      </c>
      <c r="C560" s="7" t="s">
        <v>441</v>
      </c>
      <c r="D560" s="9">
        <v>0</v>
      </c>
      <c r="E560" s="7" t="s">
        <v>1064</v>
      </c>
      <c r="F560" s="7" t="s">
        <v>693</v>
      </c>
      <c r="G560" s="7">
        <v>1</v>
      </c>
    </row>
    <row r="561" spans="2:7" hidden="1" outlineLevel="1" x14ac:dyDescent="0.25">
      <c r="B561" s="7" t="s">
        <v>442</v>
      </c>
      <c r="C561" s="7" t="s">
        <v>443</v>
      </c>
      <c r="D561" s="9">
        <v>0</v>
      </c>
      <c r="E561" s="7" t="s">
        <v>1065</v>
      </c>
      <c r="F561" s="7" t="s">
        <v>693</v>
      </c>
      <c r="G561" s="7">
        <v>1</v>
      </c>
    </row>
    <row r="562" spans="2:7" hidden="1" outlineLevel="1" x14ac:dyDescent="0.25">
      <c r="B562" s="7" t="s">
        <v>444</v>
      </c>
      <c r="C562" s="7" t="s">
        <v>445</v>
      </c>
      <c r="D562" s="9">
        <v>0</v>
      </c>
      <c r="E562" s="7" t="s">
        <v>1066</v>
      </c>
      <c r="F562" s="7" t="s">
        <v>693</v>
      </c>
      <c r="G562" s="7">
        <v>1</v>
      </c>
    </row>
    <row r="563" spans="2:7" hidden="1" outlineLevel="1" x14ac:dyDescent="0.25">
      <c r="B563" s="7" t="s">
        <v>446</v>
      </c>
      <c r="C563" s="7" t="s">
        <v>447</v>
      </c>
      <c r="D563" s="9">
        <v>0</v>
      </c>
      <c r="E563" s="7" t="s">
        <v>1067</v>
      </c>
      <c r="F563" s="7" t="s">
        <v>693</v>
      </c>
      <c r="G563" s="7">
        <v>1</v>
      </c>
    </row>
    <row r="564" spans="2:7" hidden="1" outlineLevel="1" x14ac:dyDescent="0.25">
      <c r="B564" s="7" t="s">
        <v>448</v>
      </c>
      <c r="C564" s="7" t="s">
        <v>449</v>
      </c>
      <c r="D564" s="9">
        <v>0</v>
      </c>
      <c r="E564" s="7" t="s">
        <v>1068</v>
      </c>
      <c r="F564" s="7" t="s">
        <v>693</v>
      </c>
      <c r="G564" s="7">
        <v>1</v>
      </c>
    </row>
    <row r="565" spans="2:7" hidden="1" outlineLevel="1" x14ac:dyDescent="0.25">
      <c r="B565" s="7" t="s">
        <v>450</v>
      </c>
      <c r="C565" s="7" t="s">
        <v>451</v>
      </c>
      <c r="D565" s="9">
        <v>0</v>
      </c>
      <c r="E565" s="7" t="s">
        <v>1069</v>
      </c>
      <c r="F565" s="7" t="s">
        <v>693</v>
      </c>
      <c r="G565" s="7">
        <v>1</v>
      </c>
    </row>
    <row r="566" spans="2:7" hidden="1" outlineLevel="1" x14ac:dyDescent="0.25">
      <c r="B566" s="7" t="s">
        <v>452</v>
      </c>
      <c r="C566" s="7" t="s">
        <v>453</v>
      </c>
      <c r="D566" s="9">
        <v>0</v>
      </c>
      <c r="E566" s="7" t="s">
        <v>1070</v>
      </c>
      <c r="F566" s="7" t="s">
        <v>693</v>
      </c>
      <c r="G566" s="7">
        <v>1</v>
      </c>
    </row>
    <row r="567" spans="2:7" hidden="1" outlineLevel="1" x14ac:dyDescent="0.25">
      <c r="B567" s="7" t="s">
        <v>454</v>
      </c>
      <c r="C567" s="7" t="s">
        <v>455</v>
      </c>
      <c r="D567" s="9">
        <v>0</v>
      </c>
      <c r="E567" s="7" t="s">
        <v>1071</v>
      </c>
      <c r="F567" s="7" t="s">
        <v>693</v>
      </c>
      <c r="G567" s="7">
        <v>1</v>
      </c>
    </row>
    <row r="568" spans="2:7" hidden="1" outlineLevel="1" x14ac:dyDescent="0.25">
      <c r="B568" s="7" t="s">
        <v>456</v>
      </c>
      <c r="C568" s="7" t="s">
        <v>457</v>
      </c>
      <c r="D568" s="9">
        <v>0</v>
      </c>
      <c r="E568" s="7" t="s">
        <v>1072</v>
      </c>
      <c r="F568" s="7" t="s">
        <v>693</v>
      </c>
      <c r="G568" s="7">
        <v>1</v>
      </c>
    </row>
    <row r="569" spans="2:7" hidden="1" outlineLevel="1" x14ac:dyDescent="0.25">
      <c r="B569" s="7" t="s">
        <v>458</v>
      </c>
      <c r="C569" s="7" t="s">
        <v>459</v>
      </c>
      <c r="D569" s="9">
        <v>0</v>
      </c>
      <c r="E569" s="7" t="s">
        <v>1073</v>
      </c>
      <c r="F569" s="7" t="s">
        <v>693</v>
      </c>
      <c r="G569" s="7">
        <v>1</v>
      </c>
    </row>
    <row r="570" spans="2:7" hidden="1" outlineLevel="1" x14ac:dyDescent="0.25">
      <c r="B570" s="7" t="s">
        <v>460</v>
      </c>
      <c r="C570" s="7" t="s">
        <v>461</v>
      </c>
      <c r="D570" s="9">
        <v>0</v>
      </c>
      <c r="E570" s="7" t="s">
        <v>1074</v>
      </c>
      <c r="F570" s="7" t="s">
        <v>693</v>
      </c>
      <c r="G570" s="7">
        <v>1</v>
      </c>
    </row>
    <row r="571" spans="2:7" hidden="1" outlineLevel="1" x14ac:dyDescent="0.25">
      <c r="B571" s="7" t="s">
        <v>462</v>
      </c>
      <c r="C571" s="7" t="s">
        <v>463</v>
      </c>
      <c r="D571" s="9">
        <v>0</v>
      </c>
      <c r="E571" s="7" t="s">
        <v>1075</v>
      </c>
      <c r="F571" s="7" t="s">
        <v>693</v>
      </c>
      <c r="G571" s="7">
        <v>1</v>
      </c>
    </row>
    <row r="572" spans="2:7" hidden="1" outlineLevel="1" x14ac:dyDescent="0.25">
      <c r="B572" s="7" t="s">
        <v>464</v>
      </c>
      <c r="C572" s="7" t="s">
        <v>465</v>
      </c>
      <c r="D572" s="9">
        <v>0</v>
      </c>
      <c r="E572" s="7" t="s">
        <v>1076</v>
      </c>
      <c r="F572" s="7" t="s">
        <v>693</v>
      </c>
      <c r="G572" s="7">
        <v>1</v>
      </c>
    </row>
    <row r="573" spans="2:7" hidden="1" outlineLevel="1" x14ac:dyDescent="0.25">
      <c r="B573" s="7" t="s">
        <v>466</v>
      </c>
      <c r="C573" s="7" t="s">
        <v>467</v>
      </c>
      <c r="D573" s="9">
        <v>0</v>
      </c>
      <c r="E573" s="7" t="s">
        <v>1077</v>
      </c>
      <c r="F573" s="7" t="s">
        <v>693</v>
      </c>
      <c r="G573" s="7">
        <v>1</v>
      </c>
    </row>
    <row r="574" spans="2:7" hidden="1" outlineLevel="1" x14ac:dyDescent="0.25">
      <c r="B574" s="7" t="s">
        <v>468</v>
      </c>
      <c r="C574" s="7" t="s">
        <v>469</v>
      </c>
      <c r="D574" s="9">
        <v>0</v>
      </c>
      <c r="E574" s="7" t="s">
        <v>1078</v>
      </c>
      <c r="F574" s="7" t="s">
        <v>693</v>
      </c>
      <c r="G574" s="7">
        <v>1</v>
      </c>
    </row>
    <row r="575" spans="2:7" hidden="1" outlineLevel="1" x14ac:dyDescent="0.25">
      <c r="B575" s="7" t="s">
        <v>470</v>
      </c>
      <c r="C575" s="7" t="s">
        <v>471</v>
      </c>
      <c r="D575" s="9">
        <v>0</v>
      </c>
      <c r="E575" s="7" t="s">
        <v>1079</v>
      </c>
      <c r="F575" s="7" t="s">
        <v>693</v>
      </c>
      <c r="G575" s="7">
        <v>1</v>
      </c>
    </row>
    <row r="576" spans="2:7" hidden="1" outlineLevel="1" x14ac:dyDescent="0.25">
      <c r="B576" s="7" t="s">
        <v>472</v>
      </c>
      <c r="C576" s="7" t="s">
        <v>473</v>
      </c>
      <c r="D576" s="9">
        <v>0</v>
      </c>
      <c r="E576" s="7" t="s">
        <v>1080</v>
      </c>
      <c r="F576" s="7" t="s">
        <v>693</v>
      </c>
      <c r="G576" s="7">
        <v>1</v>
      </c>
    </row>
    <row r="577" spans="2:7" hidden="1" outlineLevel="1" x14ac:dyDescent="0.25">
      <c r="B577" s="7" t="s">
        <v>474</v>
      </c>
      <c r="C577" s="7" t="s">
        <v>475</v>
      </c>
      <c r="D577" s="9">
        <v>0</v>
      </c>
      <c r="E577" s="7" t="s">
        <v>1081</v>
      </c>
      <c r="F577" s="7" t="s">
        <v>693</v>
      </c>
      <c r="G577" s="7">
        <v>1</v>
      </c>
    </row>
    <row r="578" spans="2:7" hidden="1" outlineLevel="1" x14ac:dyDescent="0.25">
      <c r="B578" s="7" t="s">
        <v>476</v>
      </c>
      <c r="C578" s="7" t="s">
        <v>477</v>
      </c>
      <c r="D578" s="9">
        <v>0</v>
      </c>
      <c r="E578" s="7" t="s">
        <v>1082</v>
      </c>
      <c r="F578" s="7" t="s">
        <v>693</v>
      </c>
      <c r="G578" s="7">
        <v>1</v>
      </c>
    </row>
    <row r="579" spans="2:7" hidden="1" outlineLevel="1" x14ac:dyDescent="0.25">
      <c r="B579" s="7" t="s">
        <v>478</v>
      </c>
      <c r="C579" s="7" t="s">
        <v>479</v>
      </c>
      <c r="D579" s="9">
        <v>0</v>
      </c>
      <c r="E579" s="7" t="s">
        <v>1083</v>
      </c>
      <c r="F579" s="7" t="s">
        <v>693</v>
      </c>
      <c r="G579" s="7">
        <v>1</v>
      </c>
    </row>
    <row r="580" spans="2:7" hidden="1" outlineLevel="1" x14ac:dyDescent="0.25">
      <c r="B580" s="7" t="s">
        <v>480</v>
      </c>
      <c r="C580" s="7" t="s">
        <v>481</v>
      </c>
      <c r="D580" s="9">
        <v>0</v>
      </c>
      <c r="E580" s="7" t="s">
        <v>1084</v>
      </c>
      <c r="F580" s="7" t="s">
        <v>693</v>
      </c>
      <c r="G580" s="7">
        <v>1</v>
      </c>
    </row>
    <row r="581" spans="2:7" hidden="1" outlineLevel="1" x14ac:dyDescent="0.25">
      <c r="B581" s="7" t="s">
        <v>482</v>
      </c>
      <c r="C581" s="7" t="s">
        <v>483</v>
      </c>
      <c r="D581" s="9">
        <v>0</v>
      </c>
      <c r="E581" s="7" t="s">
        <v>1085</v>
      </c>
      <c r="F581" s="7" t="s">
        <v>693</v>
      </c>
      <c r="G581" s="7">
        <v>1</v>
      </c>
    </row>
    <row r="582" spans="2:7" hidden="1" outlineLevel="1" x14ac:dyDescent="0.25">
      <c r="B582" s="7" t="s">
        <v>484</v>
      </c>
      <c r="C582" s="7" t="s">
        <v>485</v>
      </c>
      <c r="D582" s="9">
        <v>0</v>
      </c>
      <c r="E582" s="7" t="s">
        <v>1086</v>
      </c>
      <c r="F582" s="7" t="s">
        <v>693</v>
      </c>
      <c r="G582" s="7">
        <v>1</v>
      </c>
    </row>
    <row r="583" spans="2:7" hidden="1" outlineLevel="1" x14ac:dyDescent="0.25">
      <c r="B583" s="7" t="s">
        <v>486</v>
      </c>
      <c r="C583" s="7" t="s">
        <v>487</v>
      </c>
      <c r="D583" s="9">
        <v>0</v>
      </c>
      <c r="E583" s="7" t="s">
        <v>1087</v>
      </c>
      <c r="F583" s="7" t="s">
        <v>693</v>
      </c>
      <c r="G583" s="7">
        <v>1</v>
      </c>
    </row>
    <row r="584" spans="2:7" hidden="1" outlineLevel="1" x14ac:dyDescent="0.25">
      <c r="B584" s="7" t="s">
        <v>488</v>
      </c>
      <c r="C584" s="7" t="s">
        <v>489</v>
      </c>
      <c r="D584" s="9">
        <v>0</v>
      </c>
      <c r="E584" s="7" t="s">
        <v>1088</v>
      </c>
      <c r="F584" s="7" t="s">
        <v>693</v>
      </c>
      <c r="G584" s="7">
        <v>1</v>
      </c>
    </row>
    <row r="585" spans="2:7" hidden="1" outlineLevel="1" x14ac:dyDescent="0.25">
      <c r="B585" s="7" t="s">
        <v>490</v>
      </c>
      <c r="C585" s="7" t="s">
        <v>491</v>
      </c>
      <c r="D585" s="9">
        <v>0</v>
      </c>
      <c r="E585" s="7" t="s">
        <v>1089</v>
      </c>
      <c r="F585" s="7" t="s">
        <v>693</v>
      </c>
      <c r="G585" s="7">
        <v>1</v>
      </c>
    </row>
    <row r="586" spans="2:7" hidden="1" outlineLevel="1" x14ac:dyDescent="0.25">
      <c r="B586" s="7" t="s">
        <v>492</v>
      </c>
      <c r="C586" s="7" t="s">
        <v>493</v>
      </c>
      <c r="D586" s="9">
        <v>0</v>
      </c>
      <c r="E586" s="7" t="s">
        <v>1090</v>
      </c>
      <c r="F586" s="7" t="s">
        <v>693</v>
      </c>
      <c r="G586" s="7">
        <v>1</v>
      </c>
    </row>
    <row r="587" spans="2:7" hidden="1" outlineLevel="1" x14ac:dyDescent="0.25">
      <c r="B587" s="7" t="s">
        <v>494</v>
      </c>
      <c r="C587" s="7" t="s">
        <v>495</v>
      </c>
      <c r="D587" s="9">
        <v>0</v>
      </c>
      <c r="E587" s="7" t="s">
        <v>1091</v>
      </c>
      <c r="F587" s="7" t="s">
        <v>693</v>
      </c>
      <c r="G587" s="7">
        <v>1</v>
      </c>
    </row>
    <row r="588" spans="2:7" hidden="1" outlineLevel="1" x14ac:dyDescent="0.25">
      <c r="B588" s="7" t="s">
        <v>496</v>
      </c>
      <c r="C588" s="7" t="s">
        <v>497</v>
      </c>
      <c r="D588" s="9">
        <v>0</v>
      </c>
      <c r="E588" s="7" t="s">
        <v>1092</v>
      </c>
      <c r="F588" s="7" t="s">
        <v>693</v>
      </c>
      <c r="G588" s="7">
        <v>1</v>
      </c>
    </row>
    <row r="589" spans="2:7" hidden="1" outlineLevel="1" x14ac:dyDescent="0.25">
      <c r="B589" s="7" t="s">
        <v>498</v>
      </c>
      <c r="C589" s="7" t="s">
        <v>499</v>
      </c>
      <c r="D589" s="9">
        <v>0</v>
      </c>
      <c r="E589" s="7" t="s">
        <v>1093</v>
      </c>
      <c r="F589" s="7" t="s">
        <v>693</v>
      </c>
      <c r="G589" s="7">
        <v>1</v>
      </c>
    </row>
    <row r="590" spans="2:7" hidden="1" outlineLevel="1" x14ac:dyDescent="0.25">
      <c r="B590" s="7" t="s">
        <v>500</v>
      </c>
      <c r="C590" s="7" t="s">
        <v>501</v>
      </c>
      <c r="D590" s="9">
        <v>0</v>
      </c>
      <c r="E590" s="7" t="s">
        <v>1094</v>
      </c>
      <c r="F590" s="7" t="s">
        <v>693</v>
      </c>
      <c r="G590" s="7">
        <v>1</v>
      </c>
    </row>
    <row r="591" spans="2:7" hidden="1" outlineLevel="1" x14ac:dyDescent="0.25">
      <c r="B591" s="7" t="s">
        <v>502</v>
      </c>
      <c r="C591" s="7" t="s">
        <v>503</v>
      </c>
      <c r="D591" s="9">
        <v>0</v>
      </c>
      <c r="E591" s="7" t="s">
        <v>1095</v>
      </c>
      <c r="F591" s="7" t="s">
        <v>693</v>
      </c>
      <c r="G591" s="7">
        <v>1</v>
      </c>
    </row>
    <row r="592" spans="2:7" hidden="1" outlineLevel="1" x14ac:dyDescent="0.25">
      <c r="B592" s="7" t="s">
        <v>504</v>
      </c>
      <c r="C592" s="7" t="s">
        <v>505</v>
      </c>
      <c r="D592" s="9">
        <v>0</v>
      </c>
      <c r="E592" s="7" t="s">
        <v>1096</v>
      </c>
      <c r="F592" s="7" t="s">
        <v>693</v>
      </c>
      <c r="G592" s="7">
        <v>1</v>
      </c>
    </row>
    <row r="593" spans="2:7" hidden="1" outlineLevel="1" x14ac:dyDescent="0.25">
      <c r="B593" s="7" t="s">
        <v>506</v>
      </c>
      <c r="C593" s="7" t="s">
        <v>507</v>
      </c>
      <c r="D593" s="9">
        <v>0</v>
      </c>
      <c r="E593" s="7" t="s">
        <v>1097</v>
      </c>
      <c r="F593" s="7" t="s">
        <v>693</v>
      </c>
      <c r="G593" s="7">
        <v>1</v>
      </c>
    </row>
    <row r="594" spans="2:7" hidden="1" outlineLevel="1" x14ac:dyDescent="0.25">
      <c r="B594" s="7" t="s">
        <v>508</v>
      </c>
      <c r="C594" s="7" t="s">
        <v>509</v>
      </c>
      <c r="D594" s="9">
        <v>0</v>
      </c>
      <c r="E594" s="7" t="s">
        <v>1098</v>
      </c>
      <c r="F594" s="7" t="s">
        <v>693</v>
      </c>
      <c r="G594" s="7">
        <v>1</v>
      </c>
    </row>
    <row r="595" spans="2:7" hidden="1" outlineLevel="1" x14ac:dyDescent="0.25">
      <c r="B595" s="7" t="s">
        <v>510</v>
      </c>
      <c r="C595" s="7" t="s">
        <v>511</v>
      </c>
      <c r="D595" s="9">
        <v>1</v>
      </c>
      <c r="E595" s="7" t="s">
        <v>1099</v>
      </c>
      <c r="F595" s="7" t="s">
        <v>686</v>
      </c>
      <c r="G595" s="7">
        <v>0</v>
      </c>
    </row>
    <row r="596" spans="2:7" hidden="1" outlineLevel="1" x14ac:dyDescent="0.25">
      <c r="B596" s="7" t="s">
        <v>512</v>
      </c>
      <c r="C596" s="7" t="s">
        <v>513</v>
      </c>
      <c r="D596" s="9">
        <v>0</v>
      </c>
      <c r="E596" s="7" t="s">
        <v>1100</v>
      </c>
      <c r="F596" s="7" t="s">
        <v>693</v>
      </c>
      <c r="G596" s="7">
        <v>1</v>
      </c>
    </row>
    <row r="597" spans="2:7" hidden="1" outlineLevel="1" x14ac:dyDescent="0.25">
      <c r="B597" s="7" t="s">
        <v>514</v>
      </c>
      <c r="C597" s="7" t="s">
        <v>515</v>
      </c>
      <c r="D597" s="9">
        <v>0</v>
      </c>
      <c r="E597" s="7" t="s">
        <v>1101</v>
      </c>
      <c r="F597" s="7" t="s">
        <v>693</v>
      </c>
      <c r="G597" s="7">
        <v>1</v>
      </c>
    </row>
    <row r="598" spans="2:7" hidden="1" outlineLevel="1" x14ac:dyDescent="0.25">
      <c r="B598" s="7" t="s">
        <v>516</v>
      </c>
      <c r="C598" s="7" t="s">
        <v>517</v>
      </c>
      <c r="D598" s="9">
        <v>0</v>
      </c>
      <c r="E598" s="7" t="s">
        <v>1102</v>
      </c>
      <c r="F598" s="7" t="s">
        <v>693</v>
      </c>
      <c r="G598" s="7">
        <v>1</v>
      </c>
    </row>
    <row r="599" spans="2:7" hidden="1" outlineLevel="1" x14ac:dyDescent="0.25">
      <c r="B599" s="7" t="s">
        <v>518</v>
      </c>
      <c r="C599" s="7" t="s">
        <v>519</v>
      </c>
      <c r="D599" s="9">
        <v>1</v>
      </c>
      <c r="E599" s="7" t="s">
        <v>1103</v>
      </c>
      <c r="F599" s="7" t="s">
        <v>686</v>
      </c>
      <c r="G599" s="7">
        <v>0</v>
      </c>
    </row>
    <row r="600" spans="2:7" hidden="1" outlineLevel="1" x14ac:dyDescent="0.25">
      <c r="B600" s="7" t="s">
        <v>520</v>
      </c>
      <c r="C600" s="7" t="s">
        <v>521</v>
      </c>
      <c r="D600" s="9">
        <v>0</v>
      </c>
      <c r="E600" s="7" t="s">
        <v>1104</v>
      </c>
      <c r="F600" s="7" t="s">
        <v>693</v>
      </c>
      <c r="G600" s="7">
        <v>1</v>
      </c>
    </row>
    <row r="601" spans="2:7" hidden="1" outlineLevel="1" x14ac:dyDescent="0.25">
      <c r="B601" s="7" t="s">
        <v>522</v>
      </c>
      <c r="C601" s="7" t="s">
        <v>523</v>
      </c>
      <c r="D601" s="9">
        <v>0</v>
      </c>
      <c r="E601" s="7" t="s">
        <v>1105</v>
      </c>
      <c r="F601" s="7" t="s">
        <v>693</v>
      </c>
      <c r="G601" s="7">
        <v>1</v>
      </c>
    </row>
    <row r="602" spans="2:7" hidden="1" outlineLevel="1" x14ac:dyDescent="0.25">
      <c r="B602" s="7" t="s">
        <v>524</v>
      </c>
      <c r="C602" s="7" t="s">
        <v>525</v>
      </c>
      <c r="D602" s="9">
        <v>0</v>
      </c>
      <c r="E602" s="7" t="s">
        <v>1106</v>
      </c>
      <c r="F602" s="7" t="s">
        <v>693</v>
      </c>
      <c r="G602" s="7">
        <v>1</v>
      </c>
    </row>
    <row r="603" spans="2:7" hidden="1" outlineLevel="1" x14ac:dyDescent="0.25">
      <c r="B603" s="7" t="s">
        <v>526</v>
      </c>
      <c r="C603" s="7" t="s">
        <v>527</v>
      </c>
      <c r="D603" s="9">
        <v>0</v>
      </c>
      <c r="E603" s="7" t="s">
        <v>1107</v>
      </c>
      <c r="F603" s="7" t="s">
        <v>693</v>
      </c>
      <c r="G603" s="7">
        <v>1</v>
      </c>
    </row>
    <row r="604" spans="2:7" hidden="1" outlineLevel="1" x14ac:dyDescent="0.25">
      <c r="B604" s="7" t="s">
        <v>528</v>
      </c>
      <c r="C604" s="7" t="s">
        <v>529</v>
      </c>
      <c r="D604" s="9">
        <v>0</v>
      </c>
      <c r="E604" s="7" t="s">
        <v>1108</v>
      </c>
      <c r="F604" s="7" t="s">
        <v>693</v>
      </c>
      <c r="G604" s="7">
        <v>1</v>
      </c>
    </row>
    <row r="605" spans="2:7" hidden="1" outlineLevel="1" x14ac:dyDescent="0.25">
      <c r="B605" s="7" t="s">
        <v>530</v>
      </c>
      <c r="C605" s="7" t="s">
        <v>531</v>
      </c>
      <c r="D605" s="9">
        <v>0</v>
      </c>
      <c r="E605" s="7" t="s">
        <v>1109</v>
      </c>
      <c r="F605" s="7" t="s">
        <v>693</v>
      </c>
      <c r="G605" s="7">
        <v>1</v>
      </c>
    </row>
    <row r="606" spans="2:7" hidden="1" outlineLevel="1" x14ac:dyDescent="0.25">
      <c r="B606" s="7" t="s">
        <v>532</v>
      </c>
      <c r="C606" s="7" t="s">
        <v>533</v>
      </c>
      <c r="D606" s="9">
        <v>0</v>
      </c>
      <c r="E606" s="7" t="s">
        <v>1110</v>
      </c>
      <c r="F606" s="7" t="s">
        <v>693</v>
      </c>
      <c r="G606" s="7">
        <v>1</v>
      </c>
    </row>
    <row r="607" spans="2:7" hidden="1" outlineLevel="1" x14ac:dyDescent="0.25">
      <c r="B607" s="7" t="s">
        <v>534</v>
      </c>
      <c r="C607" s="7" t="s">
        <v>535</v>
      </c>
      <c r="D607" s="9">
        <v>0</v>
      </c>
      <c r="E607" s="7" t="s">
        <v>1111</v>
      </c>
      <c r="F607" s="7" t="s">
        <v>693</v>
      </c>
      <c r="G607" s="7">
        <v>1</v>
      </c>
    </row>
    <row r="608" spans="2:7" hidden="1" outlineLevel="1" x14ac:dyDescent="0.25">
      <c r="B608" s="7" t="s">
        <v>536</v>
      </c>
      <c r="C608" s="7" t="s">
        <v>537</v>
      </c>
      <c r="D608" s="9">
        <v>0</v>
      </c>
      <c r="E608" s="7" t="s">
        <v>1112</v>
      </c>
      <c r="F608" s="7" t="s">
        <v>693</v>
      </c>
      <c r="G608" s="7">
        <v>1</v>
      </c>
    </row>
    <row r="609" spans="2:7" hidden="1" outlineLevel="1" x14ac:dyDescent="0.25">
      <c r="B609" s="7" t="s">
        <v>538</v>
      </c>
      <c r="C609" s="7" t="s">
        <v>539</v>
      </c>
      <c r="D609" s="9">
        <v>0</v>
      </c>
      <c r="E609" s="7" t="s">
        <v>1113</v>
      </c>
      <c r="F609" s="7" t="s">
        <v>693</v>
      </c>
      <c r="G609" s="7">
        <v>1</v>
      </c>
    </row>
    <row r="610" spans="2:7" hidden="1" outlineLevel="1" x14ac:dyDescent="0.25">
      <c r="B610" s="7" t="s">
        <v>540</v>
      </c>
      <c r="C610" s="7" t="s">
        <v>541</v>
      </c>
      <c r="D610" s="9">
        <v>1</v>
      </c>
      <c r="E610" s="7" t="s">
        <v>1114</v>
      </c>
      <c r="F610" s="7" t="s">
        <v>686</v>
      </c>
      <c r="G610" s="7">
        <v>0</v>
      </c>
    </row>
    <row r="611" spans="2:7" hidden="1" outlineLevel="1" x14ac:dyDescent="0.25">
      <c r="B611" s="7" t="s">
        <v>542</v>
      </c>
      <c r="C611" s="7" t="s">
        <v>543</v>
      </c>
      <c r="D611" s="9">
        <v>0</v>
      </c>
      <c r="E611" s="7" t="s">
        <v>1115</v>
      </c>
      <c r="F611" s="7" t="s">
        <v>693</v>
      </c>
      <c r="G611" s="7">
        <v>1</v>
      </c>
    </row>
    <row r="612" spans="2:7" hidden="1" outlineLevel="1" x14ac:dyDescent="0.25">
      <c r="B612" s="7" t="s">
        <v>544</v>
      </c>
      <c r="C612" s="7" t="s">
        <v>545</v>
      </c>
      <c r="D612" s="9">
        <v>0</v>
      </c>
      <c r="E612" s="7" t="s">
        <v>1116</v>
      </c>
      <c r="F612" s="7" t="s">
        <v>693</v>
      </c>
      <c r="G612" s="7">
        <v>1</v>
      </c>
    </row>
    <row r="613" spans="2:7" hidden="1" outlineLevel="1" x14ac:dyDescent="0.25">
      <c r="B613" s="7" t="s">
        <v>546</v>
      </c>
      <c r="C613" s="7" t="s">
        <v>547</v>
      </c>
      <c r="D613" s="9">
        <v>0</v>
      </c>
      <c r="E613" s="7" t="s">
        <v>1117</v>
      </c>
      <c r="F613" s="7" t="s">
        <v>693</v>
      </c>
      <c r="G613" s="7">
        <v>1</v>
      </c>
    </row>
    <row r="614" spans="2:7" hidden="1" outlineLevel="1" x14ac:dyDescent="0.25">
      <c r="B614" s="7" t="s">
        <v>548</v>
      </c>
      <c r="C614" s="7" t="s">
        <v>549</v>
      </c>
      <c r="D614" s="9">
        <v>0</v>
      </c>
      <c r="E614" s="7" t="s">
        <v>1118</v>
      </c>
      <c r="F614" s="7" t="s">
        <v>693</v>
      </c>
      <c r="G614" s="7">
        <v>1</v>
      </c>
    </row>
    <row r="615" spans="2:7" hidden="1" outlineLevel="1" x14ac:dyDescent="0.25">
      <c r="B615" s="7" t="s">
        <v>550</v>
      </c>
      <c r="C615" s="7" t="s">
        <v>551</v>
      </c>
      <c r="D615" s="9">
        <v>0</v>
      </c>
      <c r="E615" s="7" t="s">
        <v>1119</v>
      </c>
      <c r="F615" s="7" t="s">
        <v>693</v>
      </c>
      <c r="G615" s="7">
        <v>1</v>
      </c>
    </row>
    <row r="616" spans="2:7" hidden="1" outlineLevel="1" x14ac:dyDescent="0.25">
      <c r="B616" s="7" t="s">
        <v>552</v>
      </c>
      <c r="C616" s="7" t="s">
        <v>553</v>
      </c>
      <c r="D616" s="9">
        <v>0</v>
      </c>
      <c r="E616" s="7" t="s">
        <v>1120</v>
      </c>
      <c r="F616" s="7" t="s">
        <v>693</v>
      </c>
      <c r="G616" s="7">
        <v>1</v>
      </c>
    </row>
    <row r="617" spans="2:7" hidden="1" outlineLevel="1" x14ac:dyDescent="0.25">
      <c r="B617" s="7" t="s">
        <v>554</v>
      </c>
      <c r="C617" s="7" t="s">
        <v>555</v>
      </c>
      <c r="D617" s="9">
        <v>0</v>
      </c>
      <c r="E617" s="7" t="s">
        <v>1121</v>
      </c>
      <c r="F617" s="7" t="s">
        <v>693</v>
      </c>
      <c r="G617" s="7">
        <v>1</v>
      </c>
    </row>
    <row r="618" spans="2:7" hidden="1" outlineLevel="1" x14ac:dyDescent="0.25">
      <c r="B618" s="7" t="s">
        <v>556</v>
      </c>
      <c r="C618" s="7" t="s">
        <v>557</v>
      </c>
      <c r="D618" s="9">
        <v>0</v>
      </c>
      <c r="E618" s="7" t="s">
        <v>1122</v>
      </c>
      <c r="F618" s="7" t="s">
        <v>693</v>
      </c>
      <c r="G618" s="7">
        <v>1</v>
      </c>
    </row>
    <row r="619" spans="2:7" hidden="1" outlineLevel="1" x14ac:dyDescent="0.25">
      <c r="B619" s="7" t="s">
        <v>558</v>
      </c>
      <c r="C619" s="7" t="s">
        <v>559</v>
      </c>
      <c r="D619" s="9">
        <v>0</v>
      </c>
      <c r="E619" s="7" t="s">
        <v>1123</v>
      </c>
      <c r="F619" s="7" t="s">
        <v>693</v>
      </c>
      <c r="G619" s="7">
        <v>1</v>
      </c>
    </row>
    <row r="620" spans="2:7" hidden="1" outlineLevel="1" x14ac:dyDescent="0.25">
      <c r="B620" s="7" t="s">
        <v>560</v>
      </c>
      <c r="C620" s="7" t="s">
        <v>561</v>
      </c>
      <c r="D620" s="9">
        <v>0</v>
      </c>
      <c r="E620" s="7" t="s">
        <v>1124</v>
      </c>
      <c r="F620" s="7" t="s">
        <v>693</v>
      </c>
      <c r="G620" s="7">
        <v>1</v>
      </c>
    </row>
    <row r="621" spans="2:7" hidden="1" outlineLevel="1" x14ac:dyDescent="0.25">
      <c r="B621" s="7" t="s">
        <v>562</v>
      </c>
      <c r="C621" s="7" t="s">
        <v>563</v>
      </c>
      <c r="D621" s="9">
        <v>0</v>
      </c>
      <c r="E621" s="7" t="s">
        <v>1125</v>
      </c>
      <c r="F621" s="7" t="s">
        <v>693</v>
      </c>
      <c r="G621" s="7">
        <v>1</v>
      </c>
    </row>
    <row r="622" spans="2:7" hidden="1" outlineLevel="1" x14ac:dyDescent="0.25">
      <c r="B622" s="7" t="s">
        <v>564</v>
      </c>
      <c r="C622" s="7" t="s">
        <v>565</v>
      </c>
      <c r="D622" s="9">
        <v>0</v>
      </c>
      <c r="E622" s="7" t="s">
        <v>1126</v>
      </c>
      <c r="F622" s="7" t="s">
        <v>693</v>
      </c>
      <c r="G622" s="7">
        <v>1</v>
      </c>
    </row>
    <row r="623" spans="2:7" hidden="1" outlineLevel="1" x14ac:dyDescent="0.25">
      <c r="B623" s="7" t="s">
        <v>566</v>
      </c>
      <c r="C623" s="7" t="s">
        <v>567</v>
      </c>
      <c r="D623" s="9">
        <v>0</v>
      </c>
      <c r="E623" s="7" t="s">
        <v>1127</v>
      </c>
      <c r="F623" s="7" t="s">
        <v>693</v>
      </c>
      <c r="G623" s="7">
        <v>1</v>
      </c>
    </row>
    <row r="624" spans="2:7" hidden="1" outlineLevel="1" x14ac:dyDescent="0.25">
      <c r="B624" s="7" t="s">
        <v>568</v>
      </c>
      <c r="C624" s="7" t="s">
        <v>569</v>
      </c>
      <c r="D624" s="9">
        <v>0</v>
      </c>
      <c r="E624" s="7" t="s">
        <v>1128</v>
      </c>
      <c r="F624" s="7" t="s">
        <v>693</v>
      </c>
      <c r="G624" s="7">
        <v>1</v>
      </c>
    </row>
    <row r="625" spans="2:7" hidden="1" outlineLevel="1" x14ac:dyDescent="0.25">
      <c r="B625" s="7" t="s">
        <v>570</v>
      </c>
      <c r="C625" s="7" t="s">
        <v>571</v>
      </c>
      <c r="D625" s="9">
        <v>0</v>
      </c>
      <c r="E625" s="7" t="s">
        <v>1129</v>
      </c>
      <c r="F625" s="7" t="s">
        <v>693</v>
      </c>
      <c r="G625" s="7">
        <v>1</v>
      </c>
    </row>
    <row r="626" spans="2:7" hidden="1" outlineLevel="1" x14ac:dyDescent="0.25">
      <c r="B626" s="7" t="s">
        <v>572</v>
      </c>
      <c r="C626" s="7" t="s">
        <v>573</v>
      </c>
      <c r="D626" s="9">
        <v>0</v>
      </c>
      <c r="E626" s="7" t="s">
        <v>1130</v>
      </c>
      <c r="F626" s="7" t="s">
        <v>693</v>
      </c>
      <c r="G626" s="7">
        <v>1</v>
      </c>
    </row>
    <row r="627" spans="2:7" hidden="1" outlineLevel="1" x14ac:dyDescent="0.25">
      <c r="B627" s="7" t="s">
        <v>574</v>
      </c>
      <c r="C627" s="7" t="s">
        <v>575</v>
      </c>
      <c r="D627" s="9">
        <v>0</v>
      </c>
      <c r="E627" s="7" t="s">
        <v>1131</v>
      </c>
      <c r="F627" s="7" t="s">
        <v>693</v>
      </c>
      <c r="G627" s="7">
        <v>1</v>
      </c>
    </row>
    <row r="628" spans="2:7" hidden="1" outlineLevel="1" x14ac:dyDescent="0.25">
      <c r="B628" s="7" t="s">
        <v>576</v>
      </c>
      <c r="C628" s="7" t="s">
        <v>577</v>
      </c>
      <c r="D628" s="9">
        <v>0</v>
      </c>
      <c r="E628" s="7" t="s">
        <v>1132</v>
      </c>
      <c r="F628" s="7" t="s">
        <v>693</v>
      </c>
      <c r="G628" s="7">
        <v>1</v>
      </c>
    </row>
    <row r="629" spans="2:7" hidden="1" outlineLevel="1" x14ac:dyDescent="0.25">
      <c r="B629" s="7" t="s">
        <v>578</v>
      </c>
      <c r="C629" s="7" t="s">
        <v>579</v>
      </c>
      <c r="D629" s="9">
        <v>0</v>
      </c>
      <c r="E629" s="7" t="s">
        <v>1133</v>
      </c>
      <c r="F629" s="7" t="s">
        <v>693</v>
      </c>
      <c r="G629" s="7">
        <v>1</v>
      </c>
    </row>
    <row r="630" spans="2:7" hidden="1" outlineLevel="1" x14ac:dyDescent="0.25">
      <c r="B630" s="7" t="s">
        <v>580</v>
      </c>
      <c r="C630" s="7" t="s">
        <v>581</v>
      </c>
      <c r="D630" s="9">
        <v>0</v>
      </c>
      <c r="E630" s="7" t="s">
        <v>1134</v>
      </c>
      <c r="F630" s="7" t="s">
        <v>693</v>
      </c>
      <c r="G630" s="7">
        <v>1</v>
      </c>
    </row>
    <row r="631" spans="2:7" hidden="1" outlineLevel="1" x14ac:dyDescent="0.25">
      <c r="B631" s="7" t="s">
        <v>582</v>
      </c>
      <c r="C631" s="7" t="s">
        <v>583</v>
      </c>
      <c r="D631" s="9">
        <v>0</v>
      </c>
      <c r="E631" s="7" t="s">
        <v>1135</v>
      </c>
      <c r="F631" s="7" t="s">
        <v>693</v>
      </c>
      <c r="G631" s="7">
        <v>1</v>
      </c>
    </row>
    <row r="632" spans="2:7" hidden="1" outlineLevel="1" x14ac:dyDescent="0.25">
      <c r="B632" s="7" t="s">
        <v>584</v>
      </c>
      <c r="C632" s="7" t="s">
        <v>585</v>
      </c>
      <c r="D632" s="9">
        <v>0</v>
      </c>
      <c r="E632" s="7" t="s">
        <v>1136</v>
      </c>
      <c r="F632" s="7" t="s">
        <v>693</v>
      </c>
      <c r="G632" s="7">
        <v>1</v>
      </c>
    </row>
    <row r="633" spans="2:7" hidden="1" outlineLevel="1" x14ac:dyDescent="0.25">
      <c r="B633" s="7" t="s">
        <v>586</v>
      </c>
      <c r="C633" s="7" t="s">
        <v>587</v>
      </c>
      <c r="D633" s="9">
        <v>0</v>
      </c>
      <c r="E633" s="7" t="s">
        <v>1137</v>
      </c>
      <c r="F633" s="7" t="s">
        <v>693</v>
      </c>
      <c r="G633" s="7">
        <v>1</v>
      </c>
    </row>
    <row r="634" spans="2:7" hidden="1" outlineLevel="1" x14ac:dyDescent="0.25">
      <c r="B634" s="7" t="s">
        <v>588</v>
      </c>
      <c r="C634" s="7" t="s">
        <v>589</v>
      </c>
      <c r="D634" s="9">
        <v>0</v>
      </c>
      <c r="E634" s="7" t="s">
        <v>1138</v>
      </c>
      <c r="F634" s="7" t="s">
        <v>693</v>
      </c>
      <c r="G634" s="7">
        <v>1</v>
      </c>
    </row>
    <row r="635" spans="2:7" hidden="1" outlineLevel="1" x14ac:dyDescent="0.25">
      <c r="B635" s="7" t="s">
        <v>590</v>
      </c>
      <c r="C635" s="7" t="s">
        <v>591</v>
      </c>
      <c r="D635" s="9">
        <v>0</v>
      </c>
      <c r="E635" s="7" t="s">
        <v>1139</v>
      </c>
      <c r="F635" s="7" t="s">
        <v>693</v>
      </c>
      <c r="G635" s="7">
        <v>1</v>
      </c>
    </row>
    <row r="636" spans="2:7" hidden="1" outlineLevel="1" x14ac:dyDescent="0.25">
      <c r="B636" s="7" t="s">
        <v>592</v>
      </c>
      <c r="C636" s="7" t="s">
        <v>593</v>
      </c>
      <c r="D636" s="9">
        <v>0</v>
      </c>
      <c r="E636" s="7" t="s">
        <v>1140</v>
      </c>
      <c r="F636" s="7" t="s">
        <v>693</v>
      </c>
      <c r="G636" s="7">
        <v>1</v>
      </c>
    </row>
    <row r="637" spans="2:7" hidden="1" outlineLevel="1" x14ac:dyDescent="0.25">
      <c r="B637" s="7" t="s">
        <v>594</v>
      </c>
      <c r="C637" s="7" t="s">
        <v>595</v>
      </c>
      <c r="D637" s="9">
        <v>0</v>
      </c>
      <c r="E637" s="7" t="s">
        <v>1141</v>
      </c>
      <c r="F637" s="7" t="s">
        <v>693</v>
      </c>
      <c r="G637" s="7">
        <v>1</v>
      </c>
    </row>
    <row r="638" spans="2:7" hidden="1" outlineLevel="1" x14ac:dyDescent="0.25">
      <c r="B638" s="7" t="s">
        <v>596</v>
      </c>
      <c r="C638" s="7" t="s">
        <v>597</v>
      </c>
      <c r="D638" s="9">
        <v>0</v>
      </c>
      <c r="E638" s="7" t="s">
        <v>1142</v>
      </c>
      <c r="F638" s="7" t="s">
        <v>693</v>
      </c>
      <c r="G638" s="7">
        <v>1</v>
      </c>
    </row>
    <row r="639" spans="2:7" hidden="1" outlineLevel="1" x14ac:dyDescent="0.25">
      <c r="B639" s="7" t="s">
        <v>598</v>
      </c>
      <c r="C639" s="7" t="s">
        <v>599</v>
      </c>
      <c r="D639" s="9">
        <v>0</v>
      </c>
      <c r="E639" s="7" t="s">
        <v>1143</v>
      </c>
      <c r="F639" s="7" t="s">
        <v>693</v>
      </c>
      <c r="G639" s="7">
        <v>1</v>
      </c>
    </row>
    <row r="640" spans="2:7" hidden="1" outlineLevel="1" x14ac:dyDescent="0.25">
      <c r="B640" s="7" t="s">
        <v>600</v>
      </c>
      <c r="C640" s="7" t="s">
        <v>601</v>
      </c>
      <c r="D640" s="9">
        <v>0</v>
      </c>
      <c r="E640" s="7" t="s">
        <v>1144</v>
      </c>
      <c r="F640" s="7" t="s">
        <v>693</v>
      </c>
      <c r="G640" s="7">
        <v>1</v>
      </c>
    </row>
    <row r="641" spans="2:7" hidden="1" outlineLevel="1" x14ac:dyDescent="0.25">
      <c r="B641" s="7" t="s">
        <v>602</v>
      </c>
      <c r="C641" s="7" t="s">
        <v>603</v>
      </c>
      <c r="D641" s="9">
        <v>0</v>
      </c>
      <c r="E641" s="7" t="s">
        <v>1145</v>
      </c>
      <c r="F641" s="7" t="s">
        <v>693</v>
      </c>
      <c r="G641" s="7">
        <v>1</v>
      </c>
    </row>
    <row r="642" spans="2:7" hidden="1" outlineLevel="1" x14ac:dyDescent="0.25">
      <c r="B642" s="7" t="s">
        <v>604</v>
      </c>
      <c r="C642" s="7" t="s">
        <v>605</v>
      </c>
      <c r="D642" s="9">
        <v>0</v>
      </c>
      <c r="E642" s="7" t="s">
        <v>1146</v>
      </c>
      <c r="F642" s="7" t="s">
        <v>693</v>
      </c>
      <c r="G642" s="7">
        <v>1</v>
      </c>
    </row>
    <row r="643" spans="2:7" hidden="1" outlineLevel="1" x14ac:dyDescent="0.25">
      <c r="B643" s="7" t="s">
        <v>606</v>
      </c>
      <c r="C643" s="7" t="s">
        <v>607</v>
      </c>
      <c r="D643" s="9">
        <v>0</v>
      </c>
      <c r="E643" s="7" t="s">
        <v>1147</v>
      </c>
      <c r="F643" s="7" t="s">
        <v>693</v>
      </c>
      <c r="G643" s="7">
        <v>1</v>
      </c>
    </row>
    <row r="644" spans="2:7" hidden="1" outlineLevel="1" x14ac:dyDescent="0.25">
      <c r="B644" s="7" t="s">
        <v>608</v>
      </c>
      <c r="C644" s="7" t="s">
        <v>609</v>
      </c>
      <c r="D644" s="9">
        <v>0</v>
      </c>
      <c r="E644" s="7" t="s">
        <v>1148</v>
      </c>
      <c r="F644" s="7" t="s">
        <v>693</v>
      </c>
      <c r="G644" s="7">
        <v>1</v>
      </c>
    </row>
    <row r="645" spans="2:7" hidden="1" outlineLevel="1" x14ac:dyDescent="0.25">
      <c r="B645" s="7" t="s">
        <v>610</v>
      </c>
      <c r="C645" s="7" t="s">
        <v>611</v>
      </c>
      <c r="D645" s="9">
        <v>0</v>
      </c>
      <c r="E645" s="7" t="s">
        <v>1149</v>
      </c>
      <c r="F645" s="7" t="s">
        <v>693</v>
      </c>
      <c r="G645" s="7">
        <v>1</v>
      </c>
    </row>
    <row r="646" spans="2:7" hidden="1" outlineLevel="1" x14ac:dyDescent="0.25">
      <c r="B646" s="7" t="s">
        <v>612</v>
      </c>
      <c r="C646" s="7" t="s">
        <v>613</v>
      </c>
      <c r="D646" s="9">
        <v>1</v>
      </c>
      <c r="E646" s="7" t="s">
        <v>1150</v>
      </c>
      <c r="F646" s="7" t="s">
        <v>686</v>
      </c>
      <c r="G646" s="7">
        <v>0</v>
      </c>
    </row>
    <row r="647" spans="2:7" hidden="1" outlineLevel="1" x14ac:dyDescent="0.25">
      <c r="B647" s="7" t="s">
        <v>614</v>
      </c>
      <c r="C647" s="7" t="s">
        <v>615</v>
      </c>
      <c r="D647" s="9">
        <v>0</v>
      </c>
      <c r="E647" s="7" t="s">
        <v>1151</v>
      </c>
      <c r="F647" s="7" t="s">
        <v>693</v>
      </c>
      <c r="G647" s="7">
        <v>1</v>
      </c>
    </row>
    <row r="648" spans="2:7" hidden="1" outlineLevel="1" x14ac:dyDescent="0.25">
      <c r="B648" s="7" t="s">
        <v>616</v>
      </c>
      <c r="C648" s="7" t="s">
        <v>617</v>
      </c>
      <c r="D648" s="9">
        <v>0</v>
      </c>
      <c r="E648" s="7" t="s">
        <v>1152</v>
      </c>
      <c r="F648" s="7" t="s">
        <v>693</v>
      </c>
      <c r="G648" s="7">
        <v>1</v>
      </c>
    </row>
    <row r="649" spans="2:7" hidden="1" outlineLevel="1" x14ac:dyDescent="0.25">
      <c r="B649" s="7" t="s">
        <v>618</v>
      </c>
      <c r="C649" s="7" t="s">
        <v>619</v>
      </c>
      <c r="D649" s="9">
        <v>0</v>
      </c>
      <c r="E649" s="7" t="s">
        <v>1153</v>
      </c>
      <c r="F649" s="7" t="s">
        <v>693</v>
      </c>
      <c r="G649" s="7">
        <v>1</v>
      </c>
    </row>
    <row r="650" spans="2:7" hidden="1" outlineLevel="1" x14ac:dyDescent="0.25">
      <c r="B650" s="7" t="s">
        <v>620</v>
      </c>
      <c r="C650" s="7" t="s">
        <v>621</v>
      </c>
      <c r="D650" s="9">
        <v>0</v>
      </c>
      <c r="E650" s="7" t="s">
        <v>1154</v>
      </c>
      <c r="F650" s="7" t="s">
        <v>693</v>
      </c>
      <c r="G650" s="7">
        <v>1</v>
      </c>
    </row>
    <row r="651" spans="2:7" hidden="1" outlineLevel="1" x14ac:dyDescent="0.25">
      <c r="B651" s="7" t="s">
        <v>622</v>
      </c>
      <c r="C651" s="7" t="s">
        <v>623</v>
      </c>
      <c r="D651" s="9">
        <v>0</v>
      </c>
      <c r="E651" s="7" t="s">
        <v>1155</v>
      </c>
      <c r="F651" s="7" t="s">
        <v>693</v>
      </c>
      <c r="G651" s="7">
        <v>1</v>
      </c>
    </row>
    <row r="652" spans="2:7" hidden="1" outlineLevel="1" x14ac:dyDescent="0.25">
      <c r="B652" s="7" t="s">
        <v>624</v>
      </c>
      <c r="C652" s="7" t="s">
        <v>625</v>
      </c>
      <c r="D652" s="9">
        <v>0</v>
      </c>
      <c r="E652" s="7" t="s">
        <v>1156</v>
      </c>
      <c r="F652" s="7" t="s">
        <v>693</v>
      </c>
      <c r="G652" s="7">
        <v>1</v>
      </c>
    </row>
    <row r="653" spans="2:7" hidden="1" outlineLevel="1" x14ac:dyDescent="0.25">
      <c r="B653" s="7" t="s">
        <v>626</v>
      </c>
      <c r="C653" s="7" t="s">
        <v>627</v>
      </c>
      <c r="D653" s="9">
        <v>0</v>
      </c>
      <c r="E653" s="7" t="s">
        <v>1157</v>
      </c>
      <c r="F653" s="7" t="s">
        <v>693</v>
      </c>
      <c r="G653" s="7">
        <v>1</v>
      </c>
    </row>
    <row r="654" spans="2:7" hidden="1" outlineLevel="1" x14ac:dyDescent="0.25">
      <c r="B654" s="7" t="s">
        <v>628</v>
      </c>
      <c r="C654" s="7" t="s">
        <v>629</v>
      </c>
      <c r="D654" s="9">
        <v>0</v>
      </c>
      <c r="E654" s="7" t="s">
        <v>1158</v>
      </c>
      <c r="F654" s="7" t="s">
        <v>693</v>
      </c>
      <c r="G654" s="7">
        <v>1</v>
      </c>
    </row>
    <row r="655" spans="2:7" hidden="1" outlineLevel="1" x14ac:dyDescent="0.25">
      <c r="B655" s="7" t="s">
        <v>630</v>
      </c>
      <c r="C655" s="7" t="s">
        <v>631</v>
      </c>
      <c r="D655" s="9">
        <v>0</v>
      </c>
      <c r="E655" s="7" t="s">
        <v>1159</v>
      </c>
      <c r="F655" s="7" t="s">
        <v>693</v>
      </c>
      <c r="G655" s="7">
        <v>1</v>
      </c>
    </row>
    <row r="656" spans="2:7" hidden="1" outlineLevel="1" x14ac:dyDescent="0.25">
      <c r="B656" s="7" t="s">
        <v>632</v>
      </c>
      <c r="C656" s="7" t="s">
        <v>633</v>
      </c>
      <c r="D656" s="9">
        <v>0</v>
      </c>
      <c r="E656" s="7" t="s">
        <v>1160</v>
      </c>
      <c r="F656" s="7" t="s">
        <v>693</v>
      </c>
      <c r="G656" s="7">
        <v>1</v>
      </c>
    </row>
    <row r="657" spans="2:7" hidden="1" outlineLevel="1" x14ac:dyDescent="0.25">
      <c r="B657" s="7" t="s">
        <v>634</v>
      </c>
      <c r="C657" s="7" t="s">
        <v>635</v>
      </c>
      <c r="D657" s="9">
        <v>0</v>
      </c>
      <c r="E657" s="7" t="s">
        <v>1161</v>
      </c>
      <c r="F657" s="7" t="s">
        <v>693</v>
      </c>
      <c r="G657" s="7">
        <v>1</v>
      </c>
    </row>
    <row r="658" spans="2:7" hidden="1" outlineLevel="1" x14ac:dyDescent="0.25">
      <c r="B658" s="7" t="s">
        <v>636</v>
      </c>
      <c r="C658" s="7" t="s">
        <v>637</v>
      </c>
      <c r="D658" s="9">
        <v>0</v>
      </c>
      <c r="E658" s="7" t="s">
        <v>1162</v>
      </c>
      <c r="F658" s="7" t="s">
        <v>693</v>
      </c>
      <c r="G658" s="7">
        <v>1</v>
      </c>
    </row>
    <row r="659" spans="2:7" hidden="1" outlineLevel="1" x14ac:dyDescent="0.25">
      <c r="B659" s="7" t="s">
        <v>638</v>
      </c>
      <c r="C659" s="7" t="s">
        <v>639</v>
      </c>
      <c r="D659" s="9">
        <v>0</v>
      </c>
      <c r="E659" s="7" t="s">
        <v>1163</v>
      </c>
      <c r="F659" s="7" t="s">
        <v>693</v>
      </c>
      <c r="G659" s="7">
        <v>1</v>
      </c>
    </row>
    <row r="660" spans="2:7" hidden="1" outlineLevel="1" x14ac:dyDescent="0.25">
      <c r="B660" s="7" t="s">
        <v>640</v>
      </c>
      <c r="C660" s="7" t="s">
        <v>641</v>
      </c>
      <c r="D660" s="9">
        <v>0</v>
      </c>
      <c r="E660" s="7" t="s">
        <v>1164</v>
      </c>
      <c r="F660" s="7" t="s">
        <v>693</v>
      </c>
      <c r="G660" s="7">
        <v>1</v>
      </c>
    </row>
    <row r="661" spans="2:7" hidden="1" outlineLevel="1" x14ac:dyDescent="0.25">
      <c r="B661" s="7" t="s">
        <v>642</v>
      </c>
      <c r="C661" s="7" t="s">
        <v>643</v>
      </c>
      <c r="D661" s="9">
        <v>0</v>
      </c>
      <c r="E661" s="7" t="s">
        <v>1165</v>
      </c>
      <c r="F661" s="7" t="s">
        <v>693</v>
      </c>
      <c r="G661" s="7">
        <v>1</v>
      </c>
    </row>
    <row r="662" spans="2:7" hidden="1" outlineLevel="1" x14ac:dyDescent="0.25">
      <c r="B662" s="7" t="s">
        <v>644</v>
      </c>
      <c r="C662" s="7" t="s">
        <v>645</v>
      </c>
      <c r="D662" s="9">
        <v>1</v>
      </c>
      <c r="E662" s="7" t="s">
        <v>1166</v>
      </c>
      <c r="F662" s="7" t="s">
        <v>686</v>
      </c>
      <c r="G662" s="7">
        <v>0</v>
      </c>
    </row>
    <row r="663" spans="2:7" hidden="1" outlineLevel="1" x14ac:dyDescent="0.25">
      <c r="B663" s="7" t="s">
        <v>646</v>
      </c>
      <c r="C663" s="7" t="s">
        <v>647</v>
      </c>
      <c r="D663" s="9">
        <v>0</v>
      </c>
      <c r="E663" s="7" t="s">
        <v>1167</v>
      </c>
      <c r="F663" s="7" t="s">
        <v>693</v>
      </c>
      <c r="G663" s="7">
        <v>1</v>
      </c>
    </row>
    <row r="664" spans="2:7" hidden="1" outlineLevel="1" x14ac:dyDescent="0.25">
      <c r="B664" s="7" t="s">
        <v>648</v>
      </c>
      <c r="C664" s="7" t="s">
        <v>649</v>
      </c>
      <c r="D664" s="9">
        <v>0</v>
      </c>
      <c r="E664" s="7" t="s">
        <v>1168</v>
      </c>
      <c r="F664" s="7" t="s">
        <v>693</v>
      </c>
      <c r="G664" s="7">
        <v>1</v>
      </c>
    </row>
    <row r="665" spans="2:7" hidden="1" outlineLevel="1" x14ac:dyDescent="0.25">
      <c r="B665" s="7" t="s">
        <v>650</v>
      </c>
      <c r="C665" s="7" t="s">
        <v>651</v>
      </c>
      <c r="D665" s="9">
        <v>0</v>
      </c>
      <c r="E665" s="7" t="s">
        <v>1169</v>
      </c>
      <c r="F665" s="7" t="s">
        <v>693</v>
      </c>
      <c r="G665" s="7">
        <v>1</v>
      </c>
    </row>
    <row r="666" spans="2:7" hidden="1" outlineLevel="1" x14ac:dyDescent="0.25">
      <c r="B666" s="7" t="s">
        <v>652</v>
      </c>
      <c r="C666" s="7" t="s">
        <v>653</v>
      </c>
      <c r="D666" s="9">
        <v>0</v>
      </c>
      <c r="E666" s="7" t="s">
        <v>1170</v>
      </c>
      <c r="F666" s="7" t="s">
        <v>693</v>
      </c>
      <c r="G666" s="7">
        <v>1</v>
      </c>
    </row>
    <row r="667" spans="2:7" hidden="1" outlineLevel="1" x14ac:dyDescent="0.25">
      <c r="B667" s="7" t="s">
        <v>654</v>
      </c>
      <c r="C667" s="7" t="s">
        <v>655</v>
      </c>
      <c r="D667" s="9">
        <v>0</v>
      </c>
      <c r="E667" s="7" t="s">
        <v>1171</v>
      </c>
      <c r="F667" s="7" t="s">
        <v>693</v>
      </c>
      <c r="G667" s="7">
        <v>1</v>
      </c>
    </row>
    <row r="668" spans="2:7" hidden="1" outlineLevel="1" x14ac:dyDescent="0.25">
      <c r="B668" s="7" t="s">
        <v>656</v>
      </c>
      <c r="C668" s="7" t="s">
        <v>657</v>
      </c>
      <c r="D668" s="9">
        <v>0</v>
      </c>
      <c r="E668" s="7" t="s">
        <v>1172</v>
      </c>
      <c r="F668" s="7" t="s">
        <v>693</v>
      </c>
      <c r="G668" s="7">
        <v>1</v>
      </c>
    </row>
    <row r="669" spans="2:7" hidden="1" outlineLevel="1" x14ac:dyDescent="0.25">
      <c r="B669" s="7" t="s">
        <v>658</v>
      </c>
      <c r="C669" s="7" t="s">
        <v>659</v>
      </c>
      <c r="D669" s="9">
        <v>0</v>
      </c>
      <c r="E669" s="7" t="s">
        <v>1173</v>
      </c>
      <c r="F669" s="7" t="s">
        <v>693</v>
      </c>
      <c r="G669" s="7">
        <v>1</v>
      </c>
    </row>
    <row r="670" spans="2:7" hidden="1" outlineLevel="1" x14ac:dyDescent="0.25">
      <c r="B670" s="7" t="s">
        <v>660</v>
      </c>
      <c r="C670" s="7" t="s">
        <v>661</v>
      </c>
      <c r="D670" s="9">
        <v>0</v>
      </c>
      <c r="E670" s="7" t="s">
        <v>1174</v>
      </c>
      <c r="F670" s="7" t="s">
        <v>693</v>
      </c>
      <c r="G670" s="7">
        <v>1</v>
      </c>
    </row>
    <row r="671" spans="2:7" hidden="1" outlineLevel="1" x14ac:dyDescent="0.25">
      <c r="B671" s="7" t="s">
        <v>662</v>
      </c>
      <c r="C671" s="7" t="s">
        <v>663</v>
      </c>
      <c r="D671" s="9">
        <v>0</v>
      </c>
      <c r="E671" s="7" t="s">
        <v>1175</v>
      </c>
      <c r="F671" s="7" t="s">
        <v>693</v>
      </c>
      <c r="G671" s="7">
        <v>1</v>
      </c>
    </row>
    <row r="672" spans="2:7" hidden="1" outlineLevel="1" x14ac:dyDescent="0.25">
      <c r="B672" s="7" t="s">
        <v>664</v>
      </c>
      <c r="C672" s="7" t="s">
        <v>665</v>
      </c>
      <c r="D672" s="9">
        <v>0</v>
      </c>
      <c r="E672" s="7" t="s">
        <v>1176</v>
      </c>
      <c r="F672" s="7" t="s">
        <v>693</v>
      </c>
      <c r="G672" s="7">
        <v>1</v>
      </c>
    </row>
    <row r="673" spans="2:7" hidden="1" outlineLevel="1" x14ac:dyDescent="0.25">
      <c r="B673" s="7" t="s">
        <v>666</v>
      </c>
      <c r="C673" s="7" t="s">
        <v>667</v>
      </c>
      <c r="D673" s="9">
        <v>0</v>
      </c>
      <c r="E673" s="7" t="s">
        <v>1177</v>
      </c>
      <c r="F673" s="7" t="s">
        <v>693</v>
      </c>
      <c r="G673" s="7">
        <v>1</v>
      </c>
    </row>
    <row r="674" spans="2:7" hidden="1" outlineLevel="1" x14ac:dyDescent="0.25">
      <c r="B674" s="7" t="s">
        <v>668</v>
      </c>
      <c r="C674" s="7" t="s">
        <v>669</v>
      </c>
      <c r="D674" s="9">
        <v>0</v>
      </c>
      <c r="E674" s="7" t="s">
        <v>1178</v>
      </c>
      <c r="F674" s="7" t="s">
        <v>693</v>
      </c>
      <c r="G674" s="7">
        <v>1</v>
      </c>
    </row>
    <row r="675" spans="2:7" hidden="1" outlineLevel="1" x14ac:dyDescent="0.25">
      <c r="B675" s="7" t="s">
        <v>670</v>
      </c>
      <c r="C675" s="7" t="s">
        <v>671</v>
      </c>
      <c r="D675" s="9">
        <v>0</v>
      </c>
      <c r="E675" s="7" t="s">
        <v>1179</v>
      </c>
      <c r="F675" s="7" t="s">
        <v>693</v>
      </c>
      <c r="G675" s="7">
        <v>1</v>
      </c>
    </row>
    <row r="676" spans="2:7" hidden="1" outlineLevel="1" x14ac:dyDescent="0.25">
      <c r="B676" s="7" t="s">
        <v>672</v>
      </c>
      <c r="C676" s="7" t="s">
        <v>673</v>
      </c>
      <c r="D676" s="9">
        <v>0</v>
      </c>
      <c r="E676" s="7" t="s">
        <v>1180</v>
      </c>
      <c r="F676" s="7" t="s">
        <v>693</v>
      </c>
      <c r="G676" s="7">
        <v>1</v>
      </c>
    </row>
    <row r="677" spans="2:7" hidden="1" outlineLevel="1" x14ac:dyDescent="0.25">
      <c r="B677" s="7" t="s">
        <v>674</v>
      </c>
      <c r="C677" s="7" t="s">
        <v>675</v>
      </c>
      <c r="D677" s="9">
        <v>0</v>
      </c>
      <c r="E677" s="7" t="s">
        <v>1181</v>
      </c>
      <c r="F677" s="7" t="s">
        <v>693</v>
      </c>
      <c r="G677" s="7">
        <v>1</v>
      </c>
    </row>
    <row r="678" spans="2:7" hidden="1" outlineLevel="1" x14ac:dyDescent="0.25">
      <c r="B678" s="7" t="s">
        <v>676</v>
      </c>
      <c r="C678" s="7" t="s">
        <v>677</v>
      </c>
      <c r="D678" s="9">
        <v>0</v>
      </c>
      <c r="E678" s="7" t="s">
        <v>1182</v>
      </c>
      <c r="F678" s="7" t="s">
        <v>693</v>
      </c>
      <c r="G678" s="7">
        <v>1</v>
      </c>
    </row>
    <row r="679" spans="2:7" hidden="1" outlineLevel="1" x14ac:dyDescent="0.25">
      <c r="B679" s="7" t="s">
        <v>678</v>
      </c>
      <c r="C679" s="7" t="s">
        <v>679</v>
      </c>
      <c r="D679" s="9">
        <v>0</v>
      </c>
      <c r="E679" s="7" t="s">
        <v>1183</v>
      </c>
      <c r="F679" s="7" t="s">
        <v>693</v>
      </c>
      <c r="G679" s="7">
        <v>1</v>
      </c>
    </row>
    <row r="680" spans="2:7" hidden="1" outlineLevel="1" x14ac:dyDescent="0.25">
      <c r="B680" s="7" t="s">
        <v>680</v>
      </c>
      <c r="C680" s="7" t="s">
        <v>681</v>
      </c>
      <c r="D680" s="9">
        <v>0</v>
      </c>
      <c r="E680" s="7" t="s">
        <v>1184</v>
      </c>
      <c r="F680" s="7" t="s">
        <v>693</v>
      </c>
      <c r="G680" s="7">
        <v>1</v>
      </c>
    </row>
    <row r="681" spans="2:7" hidden="1" outlineLevel="1" x14ac:dyDescent="0.25">
      <c r="B681" s="7" t="s">
        <v>682</v>
      </c>
      <c r="C681" s="7" t="s">
        <v>683</v>
      </c>
      <c r="D681" s="9">
        <v>0</v>
      </c>
      <c r="E681" s="7" t="s">
        <v>1185</v>
      </c>
      <c r="F681" s="7" t="s">
        <v>693</v>
      </c>
      <c r="G681" s="7">
        <v>1</v>
      </c>
    </row>
    <row r="682" spans="2:7" collapsed="1" x14ac:dyDescent="0.25">
      <c r="B682" s="7"/>
      <c r="C682" s="7"/>
      <c r="D682" s="9"/>
      <c r="E682" s="7"/>
      <c r="F682" s="7"/>
      <c r="G682" s="7"/>
    </row>
    <row r="683" spans="2:7" x14ac:dyDescent="0.25">
      <c r="B683" s="7" t="s">
        <v>1186</v>
      </c>
      <c r="C683" s="7"/>
      <c r="D683" s="7"/>
      <c r="E683" s="7"/>
      <c r="F683" s="7"/>
      <c r="G683" s="7"/>
    </row>
    <row r="684" spans="2:7" x14ac:dyDescent="0.25">
      <c r="B684" s="7" t="s">
        <v>1188</v>
      </c>
      <c r="C684" s="7"/>
      <c r="D684" s="7"/>
      <c r="E684" s="7"/>
      <c r="F684" s="7"/>
      <c r="G684" s="7"/>
    </row>
    <row r="685" spans="2:7" x14ac:dyDescent="0.25">
      <c r="B685" s="7" t="s">
        <v>1189</v>
      </c>
      <c r="C685" s="7"/>
      <c r="D685" s="7"/>
      <c r="E685" s="7"/>
      <c r="F685" s="7"/>
      <c r="G685" s="7"/>
    </row>
    <row r="686" spans="2:7" x14ac:dyDescent="0.25">
      <c r="B686" s="7" t="s">
        <v>1190</v>
      </c>
      <c r="C686" s="7"/>
      <c r="D686" s="7"/>
      <c r="E686" s="7"/>
      <c r="F686" s="7"/>
      <c r="G686" s="7"/>
    </row>
    <row r="687" spans="2:7" x14ac:dyDescent="0.25">
      <c r="B687" s="7" t="s">
        <v>1191</v>
      </c>
      <c r="C687" s="7"/>
      <c r="D687" s="7"/>
      <c r="E687" s="7"/>
      <c r="F687" s="7"/>
      <c r="G687" s="7"/>
    </row>
    <row r="688" spans="2:7" x14ac:dyDescent="0.25">
      <c r="B688" s="7" t="s">
        <v>1192</v>
      </c>
      <c r="C688" s="7"/>
      <c r="D688" s="7"/>
      <c r="E688" s="7"/>
      <c r="F688" s="7"/>
      <c r="G688" s="7"/>
    </row>
    <row r="689" spans="2:7" x14ac:dyDescent="0.25">
      <c r="B689" s="7" t="s">
        <v>1193</v>
      </c>
      <c r="C689" s="7"/>
      <c r="D689" s="7"/>
      <c r="E689" s="7"/>
      <c r="F689" s="7"/>
      <c r="G689" s="7"/>
    </row>
    <row r="690" spans="2:7" x14ac:dyDescent="0.25">
      <c r="B690" s="7" t="s">
        <v>1194</v>
      </c>
      <c r="C690" s="7"/>
      <c r="D690" s="7"/>
      <c r="E690" s="7"/>
      <c r="F690" s="7"/>
      <c r="G690" s="7"/>
    </row>
    <row r="691" spans="2:7" x14ac:dyDescent="0.25">
      <c r="B691" s="7" t="s">
        <v>1195</v>
      </c>
      <c r="C691" s="7"/>
      <c r="D691" s="7"/>
      <c r="E691" s="7"/>
      <c r="F691" s="7"/>
      <c r="G691" s="7"/>
    </row>
    <row r="692" spans="2:7" x14ac:dyDescent="0.25">
      <c r="B692" s="7" t="s">
        <v>1196</v>
      </c>
      <c r="C692" s="7"/>
      <c r="D692" s="7"/>
      <c r="E692" s="7"/>
      <c r="F692" s="7"/>
      <c r="G692" s="7"/>
    </row>
    <row r="693" spans="2:7" x14ac:dyDescent="0.25">
      <c r="B693" s="7" t="s">
        <v>1197</v>
      </c>
      <c r="C693" s="7"/>
      <c r="D693" s="7"/>
      <c r="E693" s="7"/>
      <c r="F693" s="7"/>
      <c r="G693" s="7"/>
    </row>
    <row r="694" spans="2:7" x14ac:dyDescent="0.25">
      <c r="B694" s="7" t="s">
        <v>1198</v>
      </c>
      <c r="C694" s="7"/>
      <c r="D694" s="7"/>
      <c r="E694" s="7"/>
      <c r="F694" s="7"/>
      <c r="G694" s="7"/>
    </row>
    <row r="695" spans="2:7" x14ac:dyDescent="0.25">
      <c r="B695" s="7" t="s">
        <v>1199</v>
      </c>
      <c r="C695" s="7"/>
      <c r="D695" s="7"/>
      <c r="E695" s="7"/>
      <c r="F695" s="7"/>
      <c r="G695" s="7"/>
    </row>
    <row r="696" spans="2:7" x14ac:dyDescent="0.25">
      <c r="B696" s="7" t="s">
        <v>1200</v>
      </c>
      <c r="C696" s="7"/>
      <c r="D696" s="7"/>
      <c r="E696" s="7"/>
      <c r="F696" s="7"/>
      <c r="G696" s="7"/>
    </row>
    <row r="697" spans="2:7" x14ac:dyDescent="0.25">
      <c r="B697" s="7" t="s">
        <v>1201</v>
      </c>
      <c r="C697" s="7"/>
      <c r="D697" s="7"/>
      <c r="E697" s="7"/>
      <c r="F697" s="7"/>
      <c r="G697" s="7"/>
    </row>
    <row r="698" spans="2:7" x14ac:dyDescent="0.25">
      <c r="B698" s="7" t="s">
        <v>1202</v>
      </c>
      <c r="C698" s="7"/>
      <c r="D698" s="7"/>
      <c r="E698" s="7"/>
      <c r="F698" s="7"/>
      <c r="G698" s="7"/>
    </row>
    <row r="699" spans="2:7" x14ac:dyDescent="0.25">
      <c r="B699" s="7" t="s">
        <v>1203</v>
      </c>
      <c r="C699" s="7"/>
      <c r="D699" s="7"/>
      <c r="E699" s="7"/>
      <c r="F699" s="7"/>
      <c r="G699" s="7"/>
    </row>
    <row r="700" spans="2:7" x14ac:dyDescent="0.25">
      <c r="B700" s="7" t="s">
        <v>1204</v>
      </c>
      <c r="C700" s="7"/>
      <c r="D700" s="7"/>
      <c r="E700" s="7"/>
      <c r="F700" s="7"/>
      <c r="G700" s="7"/>
    </row>
    <row r="701" spans="2:7" x14ac:dyDescent="0.25">
      <c r="B701" s="7" t="s">
        <v>1205</v>
      </c>
      <c r="C701" s="7"/>
      <c r="D701" s="7"/>
      <c r="E701" s="7"/>
      <c r="F701" s="7"/>
      <c r="G701" s="7"/>
    </row>
    <row r="702" spans="2:7" x14ac:dyDescent="0.25">
      <c r="B702" s="7" t="s">
        <v>1206</v>
      </c>
      <c r="C702" s="7"/>
      <c r="D702" s="7"/>
      <c r="E702" s="7"/>
      <c r="F702" s="7"/>
      <c r="G702" s="7"/>
    </row>
    <row r="703" spans="2:7" x14ac:dyDescent="0.25">
      <c r="B703" s="7" t="s">
        <v>1207</v>
      </c>
      <c r="C703" s="7"/>
      <c r="D703" s="7"/>
      <c r="E703" s="7"/>
      <c r="F703" s="7"/>
      <c r="G703" s="7"/>
    </row>
    <row r="704" spans="2:7" x14ac:dyDescent="0.25">
      <c r="B704" s="7" t="s">
        <v>1208</v>
      </c>
      <c r="C704" s="7"/>
      <c r="D704" s="7"/>
      <c r="E704" s="7"/>
      <c r="F704" s="7"/>
      <c r="G704" s="7"/>
    </row>
    <row r="705" spans="2:7" x14ac:dyDescent="0.25">
      <c r="B705" s="7" t="s">
        <v>1209</v>
      </c>
      <c r="C705" s="7"/>
      <c r="D705" s="7"/>
      <c r="E705" s="7"/>
      <c r="F705" s="7"/>
      <c r="G705" s="7"/>
    </row>
    <row r="706" spans="2:7" x14ac:dyDescent="0.25">
      <c r="B706" s="7" t="s">
        <v>1210</v>
      </c>
      <c r="C706" s="7"/>
      <c r="D706" s="7"/>
      <c r="E706" s="7"/>
      <c r="F706" s="7"/>
      <c r="G706" s="7"/>
    </row>
    <row r="707" spans="2:7" x14ac:dyDescent="0.25">
      <c r="B707" s="7" t="s">
        <v>1211</v>
      </c>
      <c r="C707" s="7"/>
      <c r="D707" s="7"/>
      <c r="E707" s="7"/>
      <c r="F707" s="7"/>
      <c r="G707" s="7"/>
    </row>
    <row r="708" spans="2:7" x14ac:dyDescent="0.25">
      <c r="B708" s="7" t="s">
        <v>1212</v>
      </c>
      <c r="C708" s="7"/>
      <c r="D708" s="7"/>
      <c r="E708" s="7"/>
      <c r="F708" s="7"/>
      <c r="G708" s="7"/>
    </row>
    <row r="709" spans="2:7" x14ac:dyDescent="0.25">
      <c r="B709" s="7" t="s">
        <v>1213</v>
      </c>
      <c r="C709" s="7"/>
      <c r="D709" s="7"/>
      <c r="E709" s="7"/>
      <c r="F709" s="7"/>
      <c r="G709" s="7"/>
    </row>
    <row r="710" spans="2:7" x14ac:dyDescent="0.25">
      <c r="B710" s="7" t="s">
        <v>1214</v>
      </c>
      <c r="C710" s="7"/>
      <c r="D710" s="7"/>
      <c r="E710" s="7"/>
      <c r="F710" s="7"/>
      <c r="G710" s="7"/>
    </row>
    <row r="711" spans="2:7" x14ac:dyDescent="0.25">
      <c r="B711" s="7" t="s">
        <v>1215</v>
      </c>
      <c r="C711" s="7"/>
      <c r="D711" s="7"/>
      <c r="E711" s="7"/>
      <c r="F711" s="7"/>
      <c r="G711" s="7"/>
    </row>
    <row r="712" spans="2:7" x14ac:dyDescent="0.25">
      <c r="B712" s="7" t="s">
        <v>1216</v>
      </c>
      <c r="C712" s="7"/>
      <c r="D712" s="7"/>
      <c r="E712" s="7"/>
      <c r="F712" s="7"/>
      <c r="G712" s="7"/>
    </row>
    <row r="713" spans="2:7" x14ac:dyDescent="0.25">
      <c r="B713" s="7" t="s">
        <v>1217</v>
      </c>
      <c r="C713" s="7"/>
      <c r="D713" s="7"/>
      <c r="E713" s="7"/>
      <c r="F713" s="7"/>
      <c r="G713" s="7"/>
    </row>
    <row r="714" spans="2:7" x14ac:dyDescent="0.25">
      <c r="B714" s="7" t="s">
        <v>1218</v>
      </c>
      <c r="C714" s="7"/>
      <c r="D714" s="7"/>
      <c r="E714" s="7"/>
      <c r="F714" s="7"/>
      <c r="G714" s="7"/>
    </row>
    <row r="715" spans="2:7" x14ac:dyDescent="0.25">
      <c r="B715" s="7" t="s">
        <v>1219</v>
      </c>
      <c r="C715" s="7"/>
      <c r="D715" s="7"/>
      <c r="E715" s="7"/>
      <c r="F715" s="7"/>
      <c r="G715" s="7"/>
    </row>
    <row r="716" spans="2:7" x14ac:dyDescent="0.25">
      <c r="B716" s="7" t="s">
        <v>1220</v>
      </c>
      <c r="C716" s="7"/>
      <c r="D716" s="7"/>
      <c r="E716" s="7"/>
      <c r="F716" s="7"/>
      <c r="G716" s="7"/>
    </row>
    <row r="717" spans="2:7" x14ac:dyDescent="0.25">
      <c r="B717" s="7" t="s">
        <v>1221</v>
      </c>
      <c r="C717" s="7"/>
      <c r="D717" s="7"/>
      <c r="E717" s="7"/>
      <c r="F717" s="7"/>
      <c r="G717" s="7"/>
    </row>
    <row r="718" spans="2:7" x14ac:dyDescent="0.25">
      <c r="B718" s="7" t="s">
        <v>1222</v>
      </c>
      <c r="C718" s="7"/>
      <c r="D718" s="7"/>
      <c r="E718" s="7"/>
      <c r="F718" s="7"/>
      <c r="G718" s="7"/>
    </row>
    <row r="719" spans="2:7" x14ac:dyDescent="0.25">
      <c r="B719" s="7" t="s">
        <v>1223</v>
      </c>
      <c r="C719" s="7"/>
      <c r="D719" s="7"/>
      <c r="E719" s="7"/>
      <c r="F719" s="7"/>
      <c r="G719" s="7"/>
    </row>
    <row r="720" spans="2:7" x14ac:dyDescent="0.25">
      <c r="B720" s="7" t="s">
        <v>1224</v>
      </c>
      <c r="C720" s="7"/>
      <c r="D720" s="7"/>
      <c r="E720" s="7"/>
      <c r="F720" s="7"/>
      <c r="G720" s="7"/>
    </row>
    <row r="721" spans="2:7" x14ac:dyDescent="0.25">
      <c r="B721" s="7" t="s">
        <v>1225</v>
      </c>
      <c r="C721" s="7"/>
      <c r="D721" s="7"/>
      <c r="E721" s="7"/>
      <c r="F721" s="7"/>
      <c r="G721" s="7"/>
    </row>
    <row r="722" spans="2:7" x14ac:dyDescent="0.25">
      <c r="B722" s="7" t="s">
        <v>1226</v>
      </c>
      <c r="C722" s="7"/>
      <c r="D722" s="7"/>
      <c r="E722" s="7"/>
      <c r="F722" s="7"/>
      <c r="G722" s="7"/>
    </row>
    <row r="723" spans="2:7" x14ac:dyDescent="0.25">
      <c r="B723" s="7" t="s">
        <v>1227</v>
      </c>
      <c r="C723" s="7"/>
      <c r="D723" s="7"/>
      <c r="E723" s="7"/>
      <c r="F723" s="7"/>
      <c r="G723" s="7"/>
    </row>
    <row r="724" spans="2:7" x14ac:dyDescent="0.25">
      <c r="B724" s="7" t="s">
        <v>1228</v>
      </c>
      <c r="C724" s="7"/>
      <c r="D724" s="7"/>
      <c r="E724" s="7"/>
      <c r="F724" s="7"/>
      <c r="G724" s="7"/>
    </row>
    <row r="725" spans="2:7" x14ac:dyDescent="0.25">
      <c r="B725" s="7" t="s">
        <v>1229</v>
      </c>
      <c r="C725" s="7"/>
      <c r="D725" s="7"/>
      <c r="E725" s="7"/>
      <c r="F725" s="7"/>
      <c r="G725" s="7"/>
    </row>
    <row r="726" spans="2:7" x14ac:dyDescent="0.25">
      <c r="B726" s="7" t="s">
        <v>1230</v>
      </c>
      <c r="C726" s="7"/>
      <c r="D726" s="7"/>
      <c r="E726" s="7"/>
      <c r="F726" s="7"/>
      <c r="G726" s="7"/>
    </row>
    <row r="727" spans="2:7" x14ac:dyDescent="0.25">
      <c r="B727" s="7" t="s">
        <v>1231</v>
      </c>
      <c r="C727" s="7"/>
      <c r="D727" s="7"/>
      <c r="E727" s="7"/>
      <c r="F727" s="7"/>
      <c r="G727" s="7"/>
    </row>
    <row r="728" spans="2:7" x14ac:dyDescent="0.25">
      <c r="B728" s="7" t="s">
        <v>1232</v>
      </c>
      <c r="C728" s="7"/>
      <c r="D728" s="7"/>
      <c r="E728" s="7"/>
      <c r="F728" s="7"/>
      <c r="G728" s="7"/>
    </row>
    <row r="729" spans="2:7" x14ac:dyDescent="0.25">
      <c r="B729" s="7" t="s">
        <v>1233</v>
      </c>
      <c r="C729" s="7"/>
      <c r="D729" s="7"/>
      <c r="E729" s="7"/>
      <c r="F729" s="7"/>
      <c r="G729" s="7"/>
    </row>
    <row r="730" spans="2:7" x14ac:dyDescent="0.25">
      <c r="B730" s="7" t="s">
        <v>1234</v>
      </c>
      <c r="C730" s="7"/>
      <c r="D730" s="7"/>
      <c r="E730" s="7"/>
      <c r="F730" s="7"/>
      <c r="G730" s="7"/>
    </row>
    <row r="731" spans="2:7" x14ac:dyDescent="0.25">
      <c r="B731" s="7" t="s">
        <v>1235</v>
      </c>
      <c r="C731" s="7"/>
      <c r="D731" s="7"/>
      <c r="E731" s="7"/>
      <c r="F731" s="7"/>
      <c r="G731" s="7"/>
    </row>
    <row r="732" spans="2:7" x14ac:dyDescent="0.25">
      <c r="B732" s="7" t="s">
        <v>1236</v>
      </c>
      <c r="C732" s="7"/>
      <c r="D732" s="7"/>
      <c r="E732" s="7"/>
      <c r="F732" s="7"/>
      <c r="G732" s="7"/>
    </row>
    <row r="733" spans="2:7" x14ac:dyDescent="0.25">
      <c r="B733" s="7" t="s">
        <v>1237</v>
      </c>
      <c r="C733" s="7"/>
      <c r="D733" s="7"/>
      <c r="E733" s="7"/>
      <c r="F733" s="7"/>
      <c r="G733" s="7"/>
    </row>
    <row r="734" spans="2:7" x14ac:dyDescent="0.25">
      <c r="B734" s="7" t="s">
        <v>1238</v>
      </c>
      <c r="C734" s="7"/>
      <c r="D734" s="7"/>
      <c r="E734" s="7"/>
      <c r="F734" s="7"/>
      <c r="G734" s="7"/>
    </row>
    <row r="735" spans="2:7" x14ac:dyDescent="0.25">
      <c r="B735" s="7" t="s">
        <v>1239</v>
      </c>
      <c r="C735" s="7"/>
      <c r="D735" s="7"/>
      <c r="E735" s="7"/>
      <c r="F735" s="7"/>
      <c r="G735" s="7"/>
    </row>
    <row r="736" spans="2:7" x14ac:dyDescent="0.25">
      <c r="B736" s="7" t="s">
        <v>1240</v>
      </c>
      <c r="C736" s="7"/>
      <c r="D736" s="7"/>
      <c r="E736" s="7"/>
      <c r="F736" s="7"/>
      <c r="G736" s="7"/>
    </row>
    <row r="737" spans="2:7" x14ac:dyDescent="0.25">
      <c r="B737" s="7" t="s">
        <v>1241</v>
      </c>
      <c r="C737" s="7"/>
      <c r="D737" s="7"/>
      <c r="E737" s="7"/>
      <c r="F737" s="7"/>
      <c r="G737" s="7"/>
    </row>
    <row r="738" spans="2:7" x14ac:dyDescent="0.25">
      <c r="B738" s="7" t="s">
        <v>1242</v>
      </c>
      <c r="C738" s="7"/>
      <c r="D738" s="7"/>
      <c r="E738" s="7"/>
      <c r="F738" s="7"/>
      <c r="G738" s="7"/>
    </row>
    <row r="739" spans="2:7" x14ac:dyDescent="0.25">
      <c r="B739" s="7" t="s">
        <v>1243</v>
      </c>
      <c r="C739" s="7"/>
      <c r="D739" s="7"/>
      <c r="E739" s="7"/>
      <c r="F739" s="7"/>
      <c r="G739" s="7"/>
    </row>
    <row r="740" spans="2:7" x14ac:dyDescent="0.25">
      <c r="B740" s="7" t="s">
        <v>1244</v>
      </c>
      <c r="C740" s="7"/>
      <c r="D740" s="7"/>
      <c r="E740" s="7"/>
      <c r="F740" s="7"/>
      <c r="G740" s="7"/>
    </row>
    <row r="741" spans="2:7" x14ac:dyDescent="0.25">
      <c r="B741" s="7" t="s">
        <v>1245</v>
      </c>
      <c r="C741" s="7"/>
      <c r="D741" s="7"/>
      <c r="E741" s="7"/>
      <c r="F741" s="7"/>
      <c r="G741" s="7"/>
    </row>
    <row r="742" spans="2:7" x14ac:dyDescent="0.25">
      <c r="B742" s="7" t="s">
        <v>1246</v>
      </c>
      <c r="C742" s="7"/>
      <c r="D742" s="7"/>
      <c r="E742" s="7"/>
      <c r="F742" s="7"/>
      <c r="G742" s="7"/>
    </row>
    <row r="743" spans="2:7" x14ac:dyDescent="0.25">
      <c r="B743" s="7" t="s">
        <v>1247</v>
      </c>
      <c r="C743" s="7"/>
      <c r="D743" s="7"/>
      <c r="E743" s="7"/>
      <c r="F743" s="7"/>
      <c r="G743" s="7"/>
    </row>
    <row r="744" spans="2:7" x14ac:dyDescent="0.25">
      <c r="B744" s="7" t="s">
        <v>1248</v>
      </c>
      <c r="C744" s="7"/>
      <c r="D744" s="7"/>
      <c r="E744" s="7"/>
      <c r="F744" s="7"/>
      <c r="G744" s="7"/>
    </row>
    <row r="745" spans="2:7" x14ac:dyDescent="0.25">
      <c r="B745" s="7" t="s">
        <v>1249</v>
      </c>
      <c r="C745" s="7"/>
      <c r="D745" s="7"/>
      <c r="E745" s="7"/>
      <c r="F745" s="7"/>
      <c r="G745" s="7"/>
    </row>
    <row r="746" spans="2:7" x14ac:dyDescent="0.25">
      <c r="B746" s="7" t="s">
        <v>1250</v>
      </c>
      <c r="C746" s="7"/>
      <c r="D746" s="7"/>
      <c r="E746" s="7"/>
      <c r="F746" s="7"/>
      <c r="G746" s="7"/>
    </row>
    <row r="747" spans="2:7" x14ac:dyDescent="0.25">
      <c r="B747" s="7" t="s">
        <v>1251</v>
      </c>
      <c r="C747" s="7"/>
      <c r="D747" s="7"/>
      <c r="E747" s="7"/>
      <c r="F747" s="7"/>
      <c r="G747" s="7"/>
    </row>
    <row r="748" spans="2:7" x14ac:dyDescent="0.25">
      <c r="B748" s="7" t="s">
        <v>1252</v>
      </c>
      <c r="C748" s="7"/>
      <c r="D748" s="7"/>
      <c r="E748" s="7"/>
      <c r="F748" s="7"/>
      <c r="G748" s="7"/>
    </row>
    <row r="749" spans="2:7" x14ac:dyDescent="0.25">
      <c r="B749" s="7" t="s">
        <v>1253</v>
      </c>
      <c r="C749" s="7"/>
      <c r="D749" s="7"/>
      <c r="E749" s="7"/>
      <c r="F749" s="7"/>
      <c r="G749" s="7"/>
    </row>
    <row r="750" spans="2:7" x14ac:dyDescent="0.25">
      <c r="B750" s="7" t="s">
        <v>1254</v>
      </c>
      <c r="C750" s="7"/>
      <c r="D750" s="7"/>
      <c r="E750" s="7"/>
      <c r="F750" s="7"/>
      <c r="G750" s="7"/>
    </row>
    <row r="751" spans="2:7" x14ac:dyDescent="0.25">
      <c r="B751" s="7" t="s">
        <v>1255</v>
      </c>
      <c r="C751" s="7"/>
      <c r="D751" s="7"/>
      <c r="E751" s="7"/>
      <c r="F751" s="7"/>
      <c r="G751" s="7"/>
    </row>
    <row r="752" spans="2:7" x14ac:dyDescent="0.25">
      <c r="B752" s="7" t="s">
        <v>1256</v>
      </c>
      <c r="C752" s="7"/>
      <c r="D752" s="7"/>
      <c r="E752" s="7"/>
      <c r="F752" s="7"/>
      <c r="G752" s="7"/>
    </row>
    <row r="753" spans="2:7" x14ac:dyDescent="0.25">
      <c r="B753" s="7" t="s">
        <v>1257</v>
      </c>
      <c r="C753" s="7"/>
      <c r="D753" s="7"/>
      <c r="E753" s="7"/>
      <c r="F753" s="7"/>
      <c r="G753" s="7"/>
    </row>
    <row r="754" spans="2:7" x14ac:dyDescent="0.25">
      <c r="B754" s="7" t="s">
        <v>1258</v>
      </c>
      <c r="C754" s="7"/>
      <c r="D754" s="7"/>
      <c r="E754" s="7"/>
      <c r="F754" s="7"/>
      <c r="G754" s="7"/>
    </row>
    <row r="755" spans="2:7" x14ac:dyDescent="0.25">
      <c r="B755" s="7" t="s">
        <v>1259</v>
      </c>
      <c r="C755" s="7"/>
      <c r="D755" s="7"/>
      <c r="E755" s="7"/>
      <c r="F755" s="7"/>
      <c r="G755" s="7"/>
    </row>
    <row r="756" spans="2:7" x14ac:dyDescent="0.25">
      <c r="B756" s="7" t="s">
        <v>1260</v>
      </c>
      <c r="C756" s="7"/>
      <c r="D756" s="7"/>
      <c r="E756" s="7"/>
      <c r="F756" s="7"/>
      <c r="G756" s="7"/>
    </row>
    <row r="757" spans="2:7" x14ac:dyDescent="0.25">
      <c r="B757" s="7" t="s">
        <v>1261</v>
      </c>
      <c r="C757" s="7"/>
      <c r="D757" s="7"/>
      <c r="E757" s="7"/>
      <c r="F757" s="7"/>
      <c r="G757" s="7"/>
    </row>
    <row r="758" spans="2:7" x14ac:dyDescent="0.25">
      <c r="B758" s="7" t="s">
        <v>1262</v>
      </c>
      <c r="C758" s="7"/>
      <c r="D758" s="7"/>
      <c r="E758" s="7"/>
      <c r="F758" s="7"/>
      <c r="G758" s="7"/>
    </row>
    <row r="759" spans="2:7" x14ac:dyDescent="0.25">
      <c r="B759" s="7" t="s">
        <v>1263</v>
      </c>
      <c r="C759" s="7"/>
      <c r="D759" s="7"/>
      <c r="E759" s="7"/>
      <c r="F759" s="7"/>
      <c r="G759" s="7"/>
    </row>
    <row r="760" spans="2:7" x14ac:dyDescent="0.25">
      <c r="B760" s="7" t="s">
        <v>1264</v>
      </c>
      <c r="C760" s="7"/>
      <c r="D760" s="7"/>
      <c r="E760" s="7"/>
      <c r="F760" s="7"/>
      <c r="G760" s="7"/>
    </row>
    <row r="761" spans="2:7" x14ac:dyDescent="0.25">
      <c r="B761" s="7" t="s">
        <v>1265</v>
      </c>
      <c r="C761" s="7"/>
      <c r="D761" s="7"/>
      <c r="E761" s="7"/>
      <c r="F761" s="7"/>
      <c r="G761" s="7"/>
    </row>
    <row r="762" spans="2:7" x14ac:dyDescent="0.25">
      <c r="B762" s="7" t="s">
        <v>1266</v>
      </c>
      <c r="C762" s="7"/>
      <c r="D762" s="7"/>
      <c r="E762" s="7"/>
      <c r="F762" s="7"/>
      <c r="G762" s="7"/>
    </row>
    <row r="763" spans="2:7" x14ac:dyDescent="0.25">
      <c r="B763" s="7" t="s">
        <v>1267</v>
      </c>
      <c r="C763" s="7"/>
      <c r="D763" s="7"/>
      <c r="E763" s="7"/>
      <c r="F763" s="7"/>
      <c r="G763" s="7"/>
    </row>
    <row r="764" spans="2:7" x14ac:dyDescent="0.25">
      <c r="B764" s="7" t="s">
        <v>1268</v>
      </c>
      <c r="C764" s="7"/>
      <c r="D764" s="7"/>
      <c r="E764" s="7"/>
      <c r="F764" s="7"/>
      <c r="G764" s="7"/>
    </row>
    <row r="765" spans="2:7" x14ac:dyDescent="0.25">
      <c r="B765" s="7" t="s">
        <v>1269</v>
      </c>
      <c r="C765" s="7"/>
      <c r="D765" s="7"/>
      <c r="E765" s="7"/>
      <c r="F765" s="7"/>
      <c r="G765" s="7"/>
    </row>
    <row r="766" spans="2:7" x14ac:dyDescent="0.25">
      <c r="B766" s="7" t="s">
        <v>1270</v>
      </c>
      <c r="C766" s="7"/>
      <c r="D766" s="7"/>
      <c r="E766" s="7"/>
      <c r="F766" s="7"/>
      <c r="G766" s="7"/>
    </row>
    <row r="767" spans="2:7" x14ac:dyDescent="0.25">
      <c r="B767" s="7" t="s">
        <v>1271</v>
      </c>
      <c r="C767" s="7"/>
      <c r="D767" s="7"/>
      <c r="E767" s="7"/>
      <c r="F767" s="7"/>
      <c r="G767" s="7"/>
    </row>
    <row r="768" spans="2:7" x14ac:dyDescent="0.25">
      <c r="B768" s="7" t="s">
        <v>1272</v>
      </c>
      <c r="C768" s="7"/>
      <c r="D768" s="7"/>
      <c r="E768" s="7"/>
      <c r="F768" s="7"/>
      <c r="G768" s="7"/>
    </row>
    <row r="769" spans="2:7" x14ac:dyDescent="0.25">
      <c r="B769" s="7" t="s">
        <v>1273</v>
      </c>
      <c r="C769" s="7"/>
      <c r="D769" s="7"/>
      <c r="E769" s="7"/>
      <c r="F769" s="7"/>
      <c r="G769" s="7"/>
    </row>
    <row r="770" spans="2:7" x14ac:dyDescent="0.25">
      <c r="B770" s="7" t="s">
        <v>1274</v>
      </c>
      <c r="C770" s="7"/>
      <c r="D770" s="7"/>
      <c r="E770" s="7"/>
      <c r="F770" s="7"/>
      <c r="G770" s="7"/>
    </row>
    <row r="771" spans="2:7" x14ac:dyDescent="0.25">
      <c r="B771" s="7" t="s">
        <v>1275</v>
      </c>
      <c r="C771" s="7"/>
      <c r="D771" s="7"/>
      <c r="E771" s="7"/>
      <c r="F771" s="7"/>
      <c r="G771" s="7"/>
    </row>
    <row r="772" spans="2:7" x14ac:dyDescent="0.25">
      <c r="B772" s="7" t="s">
        <v>1276</v>
      </c>
      <c r="C772" s="7"/>
      <c r="D772" s="7"/>
      <c r="E772" s="7"/>
      <c r="F772" s="7"/>
      <c r="G772" s="7"/>
    </row>
    <row r="773" spans="2:7" x14ac:dyDescent="0.25">
      <c r="B773" s="7" t="s">
        <v>1277</v>
      </c>
      <c r="C773" s="7"/>
      <c r="D773" s="7"/>
      <c r="E773" s="7"/>
      <c r="F773" s="7"/>
      <c r="G773" s="7"/>
    </row>
    <row r="774" spans="2:7" x14ac:dyDescent="0.25">
      <c r="B774" s="7" t="s">
        <v>1278</v>
      </c>
      <c r="C774" s="7"/>
      <c r="D774" s="7"/>
      <c r="E774" s="7"/>
      <c r="F774" s="7"/>
      <c r="G774" s="7"/>
    </row>
    <row r="775" spans="2:7" x14ac:dyDescent="0.25">
      <c r="B775" s="7" t="s">
        <v>1279</v>
      </c>
      <c r="C775" s="7"/>
      <c r="D775" s="7"/>
      <c r="E775" s="7"/>
      <c r="F775" s="7"/>
      <c r="G775" s="7"/>
    </row>
    <row r="776" spans="2:7" x14ac:dyDescent="0.25">
      <c r="B776" s="7" t="s">
        <v>1280</v>
      </c>
      <c r="C776" s="7"/>
      <c r="D776" s="7"/>
      <c r="E776" s="7"/>
      <c r="F776" s="7"/>
      <c r="G776" s="7"/>
    </row>
    <row r="777" spans="2:7" x14ac:dyDescent="0.25">
      <c r="B777" s="7" t="s">
        <v>1281</v>
      </c>
      <c r="C777" s="7"/>
      <c r="D777" s="7"/>
      <c r="E777" s="7"/>
      <c r="F777" s="7"/>
      <c r="G777" s="7"/>
    </row>
    <row r="778" spans="2:7" x14ac:dyDescent="0.25">
      <c r="B778" s="7" t="s">
        <v>1282</v>
      </c>
      <c r="C778" s="7"/>
      <c r="D778" s="7"/>
      <c r="E778" s="7"/>
      <c r="F778" s="7"/>
      <c r="G778" s="7"/>
    </row>
    <row r="779" spans="2:7" x14ac:dyDescent="0.25">
      <c r="B779" s="7" t="s">
        <v>1283</v>
      </c>
      <c r="C779" s="7"/>
      <c r="D779" s="7"/>
      <c r="E779" s="7"/>
      <c r="F779" s="7"/>
      <c r="G779" s="7"/>
    </row>
    <row r="780" spans="2:7" x14ac:dyDescent="0.25">
      <c r="B780" s="7" t="s">
        <v>1284</v>
      </c>
      <c r="C780" s="7"/>
      <c r="D780" s="7"/>
      <c r="E780" s="7"/>
      <c r="F780" s="7"/>
      <c r="G780" s="7"/>
    </row>
    <row r="781" spans="2:7" x14ac:dyDescent="0.25">
      <c r="B781" s="7" t="s">
        <v>1285</v>
      </c>
      <c r="C781" s="7"/>
      <c r="D781" s="7"/>
      <c r="E781" s="7"/>
      <c r="F781" s="7"/>
      <c r="G781" s="7"/>
    </row>
    <row r="782" spans="2:7" x14ac:dyDescent="0.25">
      <c r="B782" s="7" t="s">
        <v>1286</v>
      </c>
      <c r="C782" s="7"/>
      <c r="D782" s="7"/>
      <c r="E782" s="7"/>
      <c r="F782" s="7"/>
      <c r="G782" s="7"/>
    </row>
    <row r="783" spans="2:7" x14ac:dyDescent="0.25">
      <c r="B783" s="7" t="s">
        <v>1287</v>
      </c>
      <c r="C783" s="7"/>
      <c r="D783" s="7"/>
      <c r="E783" s="7"/>
      <c r="F783" s="7"/>
      <c r="G783" s="7"/>
    </row>
    <row r="784" spans="2:7" x14ac:dyDescent="0.25">
      <c r="B784" s="7" t="s">
        <v>1288</v>
      </c>
      <c r="C784" s="7"/>
      <c r="D784" s="7"/>
      <c r="E784" s="7"/>
      <c r="F784" s="7"/>
      <c r="G784" s="7"/>
    </row>
    <row r="785" spans="2:7" x14ac:dyDescent="0.25">
      <c r="B785" s="7" t="s">
        <v>1289</v>
      </c>
      <c r="C785" s="7"/>
      <c r="D785" s="7"/>
      <c r="E785" s="7"/>
      <c r="F785" s="7"/>
      <c r="G785" s="7"/>
    </row>
    <row r="786" spans="2:7" x14ac:dyDescent="0.25">
      <c r="B786" s="7" t="s">
        <v>1290</v>
      </c>
      <c r="C786" s="7"/>
      <c r="D786" s="7"/>
      <c r="E786" s="7"/>
      <c r="F786" s="7"/>
      <c r="G786" s="7"/>
    </row>
    <row r="787" spans="2:7" x14ac:dyDescent="0.25">
      <c r="B787" s="7" t="s">
        <v>1291</v>
      </c>
      <c r="C787" s="7"/>
      <c r="D787" s="7"/>
      <c r="E787" s="7"/>
      <c r="F787" s="7"/>
      <c r="G787" s="7"/>
    </row>
    <row r="788" spans="2:7" x14ac:dyDescent="0.25">
      <c r="B788" s="7" t="s">
        <v>1292</v>
      </c>
      <c r="C788" s="7"/>
      <c r="D788" s="7"/>
      <c r="E788" s="7"/>
      <c r="F788" s="7"/>
      <c r="G788" s="7"/>
    </row>
    <row r="789" spans="2:7" x14ac:dyDescent="0.25">
      <c r="B789" s="7" t="s">
        <v>1293</v>
      </c>
      <c r="C789" s="7"/>
      <c r="D789" s="7"/>
      <c r="E789" s="7"/>
      <c r="F789" s="7"/>
      <c r="G789" s="7"/>
    </row>
    <row r="790" spans="2:7" x14ac:dyDescent="0.25">
      <c r="B790" s="7" t="s">
        <v>1294</v>
      </c>
      <c r="C790" s="7"/>
      <c r="D790" s="7"/>
      <c r="E790" s="7"/>
      <c r="F790" s="7"/>
      <c r="G790" s="7"/>
    </row>
    <row r="791" spans="2:7" x14ac:dyDescent="0.25">
      <c r="B791" s="7" t="s">
        <v>1295</v>
      </c>
      <c r="C791" s="7"/>
      <c r="D791" s="7"/>
      <c r="E791" s="7"/>
      <c r="F791" s="7"/>
      <c r="G791" s="7"/>
    </row>
    <row r="792" spans="2:7" x14ac:dyDescent="0.25">
      <c r="B792" s="7" t="s">
        <v>1296</v>
      </c>
      <c r="C792" s="7"/>
      <c r="D792" s="7"/>
      <c r="E792" s="7"/>
      <c r="F792" s="7"/>
      <c r="G792" s="7"/>
    </row>
    <row r="793" spans="2:7" x14ac:dyDescent="0.25">
      <c r="B793" s="7" t="s">
        <v>1297</v>
      </c>
      <c r="C793" s="7"/>
      <c r="D793" s="7"/>
      <c r="E793" s="7"/>
      <c r="F793" s="7"/>
      <c r="G793" s="7"/>
    </row>
    <row r="794" spans="2:7" x14ac:dyDescent="0.25">
      <c r="B794" s="7" t="s">
        <v>1298</v>
      </c>
      <c r="C794" s="7"/>
      <c r="D794" s="7"/>
      <c r="E794" s="7"/>
      <c r="F794" s="7"/>
      <c r="G794" s="7"/>
    </row>
    <row r="795" spans="2:7" x14ac:dyDescent="0.25">
      <c r="B795" s="7" t="s">
        <v>1299</v>
      </c>
      <c r="C795" s="7"/>
      <c r="D795" s="7"/>
      <c r="E795" s="7"/>
      <c r="F795" s="7"/>
      <c r="G795" s="7"/>
    </row>
    <row r="796" spans="2:7" x14ac:dyDescent="0.25">
      <c r="B796" s="7" t="s">
        <v>1300</v>
      </c>
      <c r="C796" s="7"/>
      <c r="D796" s="7"/>
      <c r="E796" s="7"/>
      <c r="F796" s="7"/>
      <c r="G796" s="7"/>
    </row>
    <row r="797" spans="2:7" x14ac:dyDescent="0.25">
      <c r="B797" s="7" t="s">
        <v>1301</v>
      </c>
      <c r="C797" s="7"/>
      <c r="D797" s="7"/>
      <c r="E797" s="7"/>
      <c r="F797" s="7"/>
      <c r="G797" s="7"/>
    </row>
    <row r="798" spans="2:7" x14ac:dyDescent="0.25">
      <c r="B798" s="7" t="s">
        <v>1302</v>
      </c>
      <c r="C798" s="7"/>
      <c r="D798" s="7"/>
      <c r="E798" s="7"/>
      <c r="F798" s="7"/>
      <c r="G798" s="7"/>
    </row>
    <row r="799" spans="2:7" x14ac:dyDescent="0.25">
      <c r="B799" s="7" t="s">
        <v>1303</v>
      </c>
      <c r="C799" s="7"/>
      <c r="D799" s="7"/>
      <c r="E799" s="7"/>
      <c r="F799" s="7"/>
      <c r="G799" s="7"/>
    </row>
    <row r="800" spans="2:7" x14ac:dyDescent="0.25">
      <c r="B800" s="7" t="s">
        <v>1304</v>
      </c>
      <c r="C800" s="7"/>
      <c r="D800" s="7"/>
      <c r="E800" s="7"/>
      <c r="F800" s="7"/>
      <c r="G800" s="7"/>
    </row>
    <row r="801" spans="2:7" x14ac:dyDescent="0.25">
      <c r="B801" s="7" t="s">
        <v>1305</v>
      </c>
      <c r="C801" s="7"/>
      <c r="D801" s="7"/>
      <c r="E801" s="7"/>
      <c r="F801" s="7"/>
      <c r="G801" s="7"/>
    </row>
    <row r="802" spans="2:7" x14ac:dyDescent="0.25">
      <c r="B802" s="7" t="s">
        <v>1306</v>
      </c>
      <c r="C802" s="7"/>
      <c r="D802" s="7"/>
      <c r="E802" s="7"/>
      <c r="F802" s="7"/>
      <c r="G802" s="7"/>
    </row>
    <row r="803" spans="2:7" x14ac:dyDescent="0.25">
      <c r="B803" s="7" t="s">
        <v>1307</v>
      </c>
      <c r="C803" s="7"/>
      <c r="D803" s="7"/>
      <c r="E803" s="7"/>
      <c r="F803" s="7"/>
      <c r="G803" s="7"/>
    </row>
    <row r="804" spans="2:7" x14ac:dyDescent="0.25">
      <c r="B804" s="7" t="s">
        <v>1308</v>
      </c>
      <c r="C804" s="7"/>
      <c r="D804" s="7"/>
      <c r="E804" s="7"/>
      <c r="F804" s="7"/>
      <c r="G804" s="7"/>
    </row>
    <row r="805" spans="2:7" x14ac:dyDescent="0.25">
      <c r="B805" s="7" t="s">
        <v>1309</v>
      </c>
      <c r="C805" s="7"/>
      <c r="D805" s="7"/>
      <c r="E805" s="7"/>
      <c r="F805" s="7"/>
      <c r="G805" s="7"/>
    </row>
    <row r="806" spans="2:7" x14ac:dyDescent="0.25">
      <c r="B806" s="7" t="s">
        <v>1310</v>
      </c>
      <c r="C806" s="7"/>
      <c r="D806" s="7"/>
      <c r="E806" s="7"/>
      <c r="F806" s="7"/>
      <c r="G806" s="7"/>
    </row>
    <row r="807" spans="2:7" x14ac:dyDescent="0.25">
      <c r="B807" s="7" t="s">
        <v>1311</v>
      </c>
      <c r="C807" s="7"/>
      <c r="D807" s="7"/>
      <c r="E807" s="7"/>
      <c r="F807" s="7"/>
      <c r="G807" s="7"/>
    </row>
    <row r="808" spans="2:7" x14ac:dyDescent="0.25">
      <c r="B808" s="7" t="s">
        <v>1312</v>
      </c>
      <c r="C808" s="7"/>
      <c r="D808" s="7"/>
      <c r="E808" s="7"/>
      <c r="F808" s="7"/>
      <c r="G808" s="7"/>
    </row>
    <row r="809" spans="2:7" x14ac:dyDescent="0.25">
      <c r="B809" s="7" t="s">
        <v>1313</v>
      </c>
      <c r="C809" s="7"/>
      <c r="D809" s="7"/>
      <c r="E809" s="7"/>
      <c r="F809" s="7"/>
      <c r="G809" s="7"/>
    </row>
    <row r="810" spans="2:7" x14ac:dyDescent="0.25">
      <c r="B810" s="7" t="s">
        <v>1314</v>
      </c>
      <c r="C810" s="7"/>
      <c r="D810" s="7"/>
      <c r="E810" s="7"/>
      <c r="F810" s="7"/>
      <c r="G810" s="7"/>
    </row>
    <row r="811" spans="2:7" x14ac:dyDescent="0.25">
      <c r="B811" s="7" t="s">
        <v>1315</v>
      </c>
      <c r="C811" s="7"/>
      <c r="D811" s="7"/>
      <c r="E811" s="7"/>
      <c r="F811" s="7"/>
      <c r="G811" s="7"/>
    </row>
    <row r="812" spans="2:7" x14ac:dyDescent="0.25">
      <c r="B812" s="7" t="s">
        <v>1316</v>
      </c>
      <c r="C812" s="7"/>
      <c r="D812" s="7"/>
      <c r="E812" s="7"/>
      <c r="F812" s="7"/>
      <c r="G812" s="7"/>
    </row>
    <row r="813" spans="2:7" x14ac:dyDescent="0.25">
      <c r="B813" s="7" t="s">
        <v>1317</v>
      </c>
      <c r="C813" s="7"/>
      <c r="D813" s="7"/>
      <c r="E813" s="7"/>
      <c r="F813" s="7"/>
      <c r="G813" s="7"/>
    </row>
    <row r="814" spans="2:7" x14ac:dyDescent="0.25">
      <c r="B814" s="7" t="s">
        <v>1318</v>
      </c>
      <c r="C814" s="7"/>
      <c r="D814" s="7"/>
      <c r="E814" s="7"/>
      <c r="F814" s="7"/>
      <c r="G814" s="7"/>
    </row>
    <row r="815" spans="2:7" x14ac:dyDescent="0.25">
      <c r="B815" s="7" t="s">
        <v>1319</v>
      </c>
      <c r="C815" s="7"/>
      <c r="D815" s="7"/>
      <c r="E815" s="7"/>
      <c r="F815" s="7"/>
      <c r="G815" s="7"/>
    </row>
    <row r="816" spans="2:7" x14ac:dyDescent="0.25">
      <c r="B816" s="7" t="s">
        <v>1320</v>
      </c>
      <c r="C816" s="7"/>
      <c r="D816" s="7"/>
      <c r="E816" s="7"/>
      <c r="F816" s="7"/>
      <c r="G816" s="7"/>
    </row>
    <row r="817" spans="2:7" x14ac:dyDescent="0.25">
      <c r="B817" s="7" t="s">
        <v>1321</v>
      </c>
      <c r="C817" s="7"/>
      <c r="D817" s="7"/>
      <c r="E817" s="7"/>
      <c r="F817" s="7"/>
      <c r="G817" s="7"/>
    </row>
    <row r="818" spans="2:7" x14ac:dyDescent="0.25">
      <c r="B818" s="7" t="s">
        <v>1322</v>
      </c>
      <c r="C818" s="7"/>
      <c r="D818" s="7"/>
      <c r="E818" s="7"/>
      <c r="F818" s="7"/>
      <c r="G818" s="7"/>
    </row>
    <row r="819" spans="2:7" x14ac:dyDescent="0.25">
      <c r="B819" s="7" t="s">
        <v>1323</v>
      </c>
      <c r="C819" s="7"/>
      <c r="D819" s="7"/>
      <c r="E819" s="7"/>
      <c r="F819" s="7"/>
      <c r="G819" s="7"/>
    </row>
    <row r="820" spans="2:7" x14ac:dyDescent="0.25">
      <c r="B820" s="7" t="s">
        <v>1324</v>
      </c>
      <c r="C820" s="7"/>
      <c r="D820" s="7"/>
      <c r="E820" s="7"/>
      <c r="F820" s="7"/>
      <c r="G820" s="7"/>
    </row>
    <row r="821" spans="2:7" x14ac:dyDescent="0.25">
      <c r="B821" s="7" t="s">
        <v>1325</v>
      </c>
      <c r="C821" s="7"/>
      <c r="D821" s="7"/>
      <c r="E821" s="7"/>
      <c r="F821" s="7"/>
      <c r="G821" s="7"/>
    </row>
    <row r="822" spans="2:7" x14ac:dyDescent="0.25">
      <c r="B822" s="7" t="s">
        <v>1326</v>
      </c>
      <c r="C822" s="7"/>
      <c r="D822" s="7"/>
      <c r="E822" s="7"/>
      <c r="F822" s="7"/>
      <c r="G822" s="7"/>
    </row>
    <row r="823" spans="2:7" x14ac:dyDescent="0.25">
      <c r="B823" s="7" t="s">
        <v>1327</v>
      </c>
      <c r="C823" s="7"/>
      <c r="D823" s="7"/>
      <c r="E823" s="7"/>
      <c r="F823" s="7"/>
      <c r="G823" s="7"/>
    </row>
    <row r="824" spans="2:7" x14ac:dyDescent="0.25">
      <c r="B824" s="7" t="s">
        <v>1328</v>
      </c>
      <c r="C824" s="7"/>
      <c r="D824" s="7"/>
      <c r="E824" s="7"/>
      <c r="F824" s="7"/>
      <c r="G824" s="7"/>
    </row>
    <row r="825" spans="2:7" x14ac:dyDescent="0.25">
      <c r="B825" s="7" t="s">
        <v>1329</v>
      </c>
      <c r="C825" s="7"/>
      <c r="D825" s="7"/>
      <c r="E825" s="7"/>
      <c r="F825" s="7"/>
      <c r="G825" s="7"/>
    </row>
    <row r="826" spans="2:7" x14ac:dyDescent="0.25">
      <c r="B826" s="7" t="s">
        <v>1330</v>
      </c>
      <c r="C826" s="7"/>
      <c r="D826" s="7"/>
      <c r="E826" s="7"/>
      <c r="F826" s="7"/>
      <c r="G826" s="7"/>
    </row>
    <row r="827" spans="2:7" x14ac:dyDescent="0.25">
      <c r="B827" s="7" t="s">
        <v>1331</v>
      </c>
      <c r="C827" s="7"/>
      <c r="D827" s="7"/>
      <c r="E827" s="7"/>
      <c r="F827" s="7"/>
      <c r="G827" s="7"/>
    </row>
    <row r="828" spans="2:7" x14ac:dyDescent="0.25">
      <c r="B828" s="7" t="s">
        <v>1332</v>
      </c>
      <c r="C828" s="7"/>
      <c r="D828" s="7"/>
      <c r="E828" s="7"/>
      <c r="F828" s="7"/>
      <c r="G828" s="7"/>
    </row>
    <row r="829" spans="2:7" x14ac:dyDescent="0.25">
      <c r="B829" s="7" t="s">
        <v>1333</v>
      </c>
      <c r="C829" s="7"/>
      <c r="D829" s="7"/>
      <c r="E829" s="7"/>
      <c r="F829" s="7"/>
      <c r="G829" s="7"/>
    </row>
    <row r="830" spans="2:7" x14ac:dyDescent="0.25">
      <c r="B830" s="7" t="s">
        <v>1334</v>
      </c>
      <c r="C830" s="7"/>
      <c r="D830" s="7"/>
      <c r="E830" s="7"/>
      <c r="F830" s="7"/>
      <c r="G830" s="7"/>
    </row>
    <row r="831" spans="2:7" x14ac:dyDescent="0.25">
      <c r="B831" s="7" t="s">
        <v>1335</v>
      </c>
      <c r="C831" s="7"/>
      <c r="D831" s="7"/>
      <c r="E831" s="7"/>
      <c r="F831" s="7"/>
      <c r="G831" s="7"/>
    </row>
    <row r="832" spans="2:7" x14ac:dyDescent="0.25">
      <c r="B832" s="7" t="s">
        <v>1336</v>
      </c>
      <c r="C832" s="7"/>
      <c r="D832" s="7"/>
      <c r="E832" s="7"/>
      <c r="F832" s="7"/>
      <c r="G832" s="7"/>
    </row>
    <row r="833" spans="2:7" x14ac:dyDescent="0.25">
      <c r="B833" s="7" t="s">
        <v>1337</v>
      </c>
      <c r="C833" s="7"/>
      <c r="D833" s="7"/>
      <c r="E833" s="7"/>
      <c r="F833" s="7"/>
      <c r="G833" s="7"/>
    </row>
    <row r="834" spans="2:7" x14ac:dyDescent="0.25">
      <c r="B834" s="7" t="s">
        <v>1338</v>
      </c>
      <c r="C834" s="7"/>
      <c r="D834" s="7"/>
      <c r="E834" s="7"/>
      <c r="F834" s="7"/>
      <c r="G834" s="7"/>
    </row>
    <row r="835" spans="2:7" x14ac:dyDescent="0.25">
      <c r="B835" s="7" t="s">
        <v>1339</v>
      </c>
      <c r="C835" s="7"/>
      <c r="D835" s="7"/>
      <c r="E835" s="7"/>
      <c r="F835" s="7"/>
      <c r="G835" s="7"/>
    </row>
    <row r="836" spans="2:7" x14ac:dyDescent="0.25">
      <c r="B836" s="7" t="s">
        <v>1340</v>
      </c>
      <c r="C836" s="7"/>
      <c r="D836" s="7"/>
      <c r="E836" s="7"/>
      <c r="F836" s="7"/>
      <c r="G836" s="7"/>
    </row>
    <row r="837" spans="2:7" x14ac:dyDescent="0.25">
      <c r="B837" s="7" t="s">
        <v>1341</v>
      </c>
      <c r="C837" s="7"/>
      <c r="D837" s="7"/>
      <c r="E837" s="7"/>
      <c r="F837" s="7"/>
      <c r="G837" s="7"/>
    </row>
    <row r="838" spans="2:7" x14ac:dyDescent="0.25">
      <c r="B838" s="7" t="s">
        <v>1342</v>
      </c>
      <c r="C838" s="7"/>
      <c r="D838" s="7"/>
      <c r="E838" s="7"/>
      <c r="F838" s="7"/>
      <c r="G838" s="7"/>
    </row>
    <row r="839" spans="2:7" x14ac:dyDescent="0.25">
      <c r="B839" s="7" t="s">
        <v>1343</v>
      </c>
      <c r="C839" s="7"/>
      <c r="D839" s="7"/>
      <c r="E839" s="7"/>
      <c r="F839" s="7"/>
      <c r="G839" s="7"/>
    </row>
    <row r="840" spans="2:7" x14ac:dyDescent="0.25">
      <c r="B840" s="7" t="s">
        <v>1344</v>
      </c>
      <c r="C840" s="7"/>
      <c r="D840" s="7"/>
      <c r="E840" s="7"/>
      <c r="F840" s="7"/>
      <c r="G840" s="7"/>
    </row>
    <row r="841" spans="2:7" x14ac:dyDescent="0.25">
      <c r="B841" s="7" t="s">
        <v>1345</v>
      </c>
      <c r="C841" s="7"/>
      <c r="D841" s="7"/>
      <c r="E841" s="7"/>
      <c r="F841" s="7"/>
      <c r="G841" s="7"/>
    </row>
    <row r="842" spans="2:7" x14ac:dyDescent="0.25">
      <c r="B842" s="7" t="s">
        <v>1346</v>
      </c>
      <c r="C842" s="7"/>
      <c r="D842" s="7"/>
      <c r="E842" s="7"/>
      <c r="F842" s="7"/>
      <c r="G842" s="7"/>
    </row>
    <row r="843" spans="2:7" x14ac:dyDescent="0.25">
      <c r="B843" s="7" t="s">
        <v>1347</v>
      </c>
      <c r="C843" s="7"/>
      <c r="D843" s="7"/>
      <c r="E843" s="7"/>
      <c r="F843" s="7"/>
      <c r="G843" s="7"/>
    </row>
    <row r="844" spans="2:7" x14ac:dyDescent="0.25">
      <c r="B844" s="7" t="s">
        <v>1348</v>
      </c>
      <c r="C844" s="7"/>
      <c r="D844" s="7"/>
      <c r="E844" s="7"/>
      <c r="F844" s="7"/>
      <c r="G844" s="7"/>
    </row>
    <row r="845" spans="2:7" x14ac:dyDescent="0.25">
      <c r="B845" s="7" t="s">
        <v>1349</v>
      </c>
      <c r="C845" s="7"/>
      <c r="D845" s="7"/>
      <c r="E845" s="7"/>
      <c r="F845" s="7"/>
      <c r="G845" s="7"/>
    </row>
    <row r="846" spans="2:7" x14ac:dyDescent="0.25">
      <c r="B846" s="7" t="s">
        <v>1350</v>
      </c>
      <c r="C846" s="7"/>
      <c r="D846" s="7"/>
      <c r="E846" s="7"/>
      <c r="F846" s="7"/>
      <c r="G846" s="7"/>
    </row>
    <row r="847" spans="2:7" x14ac:dyDescent="0.25">
      <c r="B847" s="7" t="s">
        <v>1351</v>
      </c>
      <c r="C847" s="7"/>
      <c r="D847" s="7"/>
      <c r="E847" s="7"/>
      <c r="F847" s="7"/>
      <c r="G847" s="7"/>
    </row>
    <row r="848" spans="2:7" x14ac:dyDescent="0.25">
      <c r="B848" s="7" t="s">
        <v>1352</v>
      </c>
      <c r="C848" s="7"/>
      <c r="D848" s="7"/>
      <c r="E848" s="7"/>
      <c r="F848" s="7"/>
      <c r="G848" s="7"/>
    </row>
    <row r="849" spans="2:7" x14ac:dyDescent="0.25">
      <c r="B849" s="7" t="s">
        <v>1353</v>
      </c>
      <c r="C849" s="7"/>
      <c r="D849" s="7"/>
      <c r="E849" s="7"/>
      <c r="F849" s="7"/>
      <c r="G849" s="7"/>
    </row>
    <row r="850" spans="2:7" x14ac:dyDescent="0.25">
      <c r="B850" s="7" t="s">
        <v>1354</v>
      </c>
      <c r="C850" s="7"/>
      <c r="D850" s="7"/>
      <c r="E850" s="7"/>
      <c r="F850" s="7"/>
      <c r="G850" s="7"/>
    </row>
    <row r="851" spans="2:7" x14ac:dyDescent="0.25">
      <c r="B851" s="7" t="s">
        <v>1355</v>
      </c>
      <c r="C851" s="7"/>
      <c r="D851" s="7"/>
      <c r="E851" s="7"/>
      <c r="F851" s="7"/>
      <c r="G851" s="7"/>
    </row>
    <row r="852" spans="2:7" x14ac:dyDescent="0.25">
      <c r="B852" s="7" t="s">
        <v>1356</v>
      </c>
      <c r="C852" s="7"/>
      <c r="D852" s="7"/>
      <c r="E852" s="7"/>
      <c r="F852" s="7"/>
      <c r="G852" s="7"/>
    </row>
    <row r="853" spans="2:7" x14ac:dyDescent="0.25">
      <c r="B853" s="7" t="s">
        <v>1357</v>
      </c>
      <c r="C853" s="7"/>
      <c r="D853" s="7"/>
      <c r="E853" s="7"/>
      <c r="F853" s="7"/>
      <c r="G853" s="7"/>
    </row>
    <row r="854" spans="2:7" x14ac:dyDescent="0.25">
      <c r="B854" s="7" t="s">
        <v>1358</v>
      </c>
      <c r="C854" s="7"/>
      <c r="D854" s="7"/>
      <c r="E854" s="7"/>
      <c r="F854" s="7"/>
      <c r="G854" s="7"/>
    </row>
    <row r="855" spans="2:7" x14ac:dyDescent="0.25">
      <c r="B855" s="7" t="s">
        <v>1359</v>
      </c>
      <c r="C855" s="7"/>
      <c r="D855" s="7"/>
      <c r="E855" s="7"/>
      <c r="F855" s="7"/>
      <c r="G855" s="7"/>
    </row>
    <row r="856" spans="2:7" x14ac:dyDescent="0.25">
      <c r="B856" s="7" t="s">
        <v>1360</v>
      </c>
      <c r="C856" s="7"/>
      <c r="D856" s="7"/>
      <c r="E856" s="7"/>
      <c r="F856" s="7"/>
      <c r="G856" s="7"/>
    </row>
    <row r="857" spans="2:7" x14ac:dyDescent="0.25">
      <c r="B857" s="7" t="s">
        <v>1361</v>
      </c>
      <c r="C857" s="7"/>
      <c r="D857" s="7"/>
      <c r="E857" s="7"/>
      <c r="F857" s="7"/>
      <c r="G857" s="7"/>
    </row>
    <row r="858" spans="2:7" x14ac:dyDescent="0.25">
      <c r="B858" s="7" t="s">
        <v>1362</v>
      </c>
      <c r="C858" s="7"/>
      <c r="D858" s="7"/>
      <c r="E858" s="7"/>
      <c r="F858" s="7"/>
      <c r="G858" s="7"/>
    </row>
    <row r="859" spans="2:7" x14ac:dyDescent="0.25">
      <c r="B859" s="7" t="s">
        <v>1363</v>
      </c>
      <c r="C859" s="7"/>
      <c r="D859" s="7"/>
      <c r="E859" s="7"/>
      <c r="F859" s="7"/>
      <c r="G859" s="7"/>
    </row>
    <row r="860" spans="2:7" x14ac:dyDescent="0.25">
      <c r="B860" s="7" t="s">
        <v>1364</v>
      </c>
      <c r="C860" s="7"/>
      <c r="D860" s="7"/>
      <c r="E860" s="7"/>
      <c r="F860" s="7"/>
      <c r="G860" s="7"/>
    </row>
    <row r="861" spans="2:7" x14ac:dyDescent="0.25">
      <c r="B861" s="7" t="s">
        <v>1365</v>
      </c>
      <c r="C861" s="7"/>
      <c r="D861" s="7"/>
      <c r="E861" s="7"/>
      <c r="F861" s="7"/>
      <c r="G861" s="7"/>
    </row>
    <row r="862" spans="2:7" x14ac:dyDescent="0.25">
      <c r="B862" s="7" t="s">
        <v>1366</v>
      </c>
      <c r="C862" s="7"/>
      <c r="D862" s="7"/>
      <c r="E862" s="7"/>
      <c r="F862" s="7"/>
      <c r="G862" s="7"/>
    </row>
    <row r="863" spans="2:7" x14ac:dyDescent="0.25">
      <c r="B863" s="7" t="s">
        <v>1367</v>
      </c>
      <c r="C863" s="7"/>
      <c r="D863" s="7"/>
      <c r="E863" s="7"/>
      <c r="F863" s="7"/>
      <c r="G863" s="7"/>
    </row>
    <row r="864" spans="2:7" x14ac:dyDescent="0.25">
      <c r="B864" s="7" t="s">
        <v>1368</v>
      </c>
      <c r="C864" s="7"/>
      <c r="D864" s="7"/>
      <c r="E864" s="7"/>
      <c r="F864" s="7"/>
      <c r="G864" s="7"/>
    </row>
    <row r="865" spans="2:7" x14ac:dyDescent="0.25">
      <c r="B865" s="7" t="s">
        <v>1369</v>
      </c>
      <c r="C865" s="7"/>
      <c r="D865" s="7"/>
      <c r="E865" s="7"/>
      <c r="F865" s="7"/>
      <c r="G865" s="7"/>
    </row>
    <row r="866" spans="2:7" x14ac:dyDescent="0.25">
      <c r="B866" s="7" t="s">
        <v>1370</v>
      </c>
      <c r="C866" s="7"/>
      <c r="D866" s="7"/>
      <c r="E866" s="7"/>
      <c r="F866" s="7"/>
      <c r="G866" s="7"/>
    </row>
    <row r="867" spans="2:7" x14ac:dyDescent="0.25">
      <c r="B867" s="7" t="s">
        <v>1371</v>
      </c>
      <c r="C867" s="7"/>
      <c r="D867" s="7"/>
      <c r="E867" s="7"/>
      <c r="F867" s="7"/>
      <c r="G867" s="7"/>
    </row>
    <row r="868" spans="2:7" x14ac:dyDescent="0.25">
      <c r="B868" s="7" t="s">
        <v>1372</v>
      </c>
      <c r="C868" s="7"/>
      <c r="D868" s="7"/>
      <c r="E868" s="7"/>
      <c r="F868" s="7"/>
      <c r="G868" s="7"/>
    </row>
    <row r="869" spans="2:7" x14ac:dyDescent="0.25">
      <c r="B869" s="7" t="s">
        <v>1373</v>
      </c>
      <c r="C869" s="7"/>
      <c r="D869" s="7"/>
      <c r="E869" s="7"/>
      <c r="F869" s="7"/>
      <c r="G869" s="7"/>
    </row>
    <row r="870" spans="2:7" x14ac:dyDescent="0.25">
      <c r="B870" s="7" t="s">
        <v>1374</v>
      </c>
      <c r="C870" s="7"/>
      <c r="D870" s="7"/>
      <c r="E870" s="7"/>
      <c r="F870" s="7"/>
      <c r="G870" s="7"/>
    </row>
    <row r="871" spans="2:7" x14ac:dyDescent="0.25">
      <c r="B871" s="7" t="s">
        <v>1375</v>
      </c>
      <c r="C871" s="7"/>
      <c r="D871" s="7"/>
      <c r="E871" s="7"/>
      <c r="F871" s="7"/>
      <c r="G871" s="7"/>
    </row>
    <row r="872" spans="2:7" x14ac:dyDescent="0.25">
      <c r="B872" s="7" t="s">
        <v>1376</v>
      </c>
      <c r="C872" s="7"/>
      <c r="D872" s="7"/>
      <c r="E872" s="7"/>
      <c r="F872" s="7"/>
      <c r="G872" s="7"/>
    </row>
    <row r="873" spans="2:7" x14ac:dyDescent="0.25">
      <c r="B873" s="7" t="s">
        <v>1377</v>
      </c>
      <c r="C873" s="7"/>
      <c r="D873" s="7"/>
      <c r="E873" s="7"/>
      <c r="F873" s="7"/>
      <c r="G873" s="7"/>
    </row>
    <row r="874" spans="2:7" x14ac:dyDescent="0.25">
      <c r="B874" s="7" t="s">
        <v>1378</v>
      </c>
      <c r="C874" s="7"/>
      <c r="D874" s="7"/>
      <c r="E874" s="7"/>
      <c r="F874" s="7"/>
      <c r="G874" s="7"/>
    </row>
    <row r="875" spans="2:7" x14ac:dyDescent="0.25">
      <c r="B875" s="7" t="s">
        <v>1379</v>
      </c>
      <c r="C875" s="7"/>
      <c r="D875" s="7"/>
      <c r="E875" s="7"/>
      <c r="F875" s="7"/>
      <c r="G875" s="7"/>
    </row>
    <row r="876" spans="2:7" x14ac:dyDescent="0.25">
      <c r="B876" s="7" t="s">
        <v>1380</v>
      </c>
      <c r="C876" s="7"/>
      <c r="D876" s="7"/>
      <c r="E876" s="7"/>
      <c r="F876" s="7"/>
      <c r="G876" s="7"/>
    </row>
    <row r="877" spans="2:7" x14ac:dyDescent="0.25">
      <c r="B877" s="7" t="s">
        <v>1381</v>
      </c>
      <c r="C877" s="7"/>
      <c r="D877" s="7"/>
      <c r="E877" s="7"/>
      <c r="F877" s="7"/>
      <c r="G877" s="7"/>
    </row>
    <row r="878" spans="2:7" x14ac:dyDescent="0.25">
      <c r="B878" s="7" t="s">
        <v>1382</v>
      </c>
      <c r="C878" s="7"/>
      <c r="D878" s="7"/>
      <c r="E878" s="7"/>
      <c r="F878" s="7"/>
      <c r="G878" s="7"/>
    </row>
    <row r="879" spans="2:7" x14ac:dyDescent="0.25">
      <c r="B879" s="7" t="s">
        <v>1383</v>
      </c>
      <c r="C879" s="7"/>
      <c r="D879" s="7"/>
      <c r="E879" s="7"/>
      <c r="F879" s="7"/>
      <c r="G879" s="7"/>
    </row>
    <row r="880" spans="2:7" x14ac:dyDescent="0.25">
      <c r="B880" s="7" t="s">
        <v>1384</v>
      </c>
      <c r="C880" s="7"/>
      <c r="D880" s="7"/>
      <c r="E880" s="7"/>
      <c r="F880" s="7"/>
      <c r="G880" s="7"/>
    </row>
    <row r="881" spans="2:7" x14ac:dyDescent="0.25">
      <c r="B881" s="7" t="s">
        <v>1385</v>
      </c>
      <c r="C881" s="7"/>
      <c r="D881" s="7"/>
      <c r="E881" s="7"/>
      <c r="F881" s="7"/>
      <c r="G881" s="7"/>
    </row>
    <row r="882" spans="2:7" ht="15.75" thickBot="1" x14ac:dyDescent="0.3">
      <c r="B882" s="4" t="s">
        <v>1386</v>
      </c>
      <c r="C882" s="4"/>
      <c r="D882" s="4"/>
      <c r="E882" s="4"/>
      <c r="F882" s="4"/>
      <c r="G88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D7B2-2B09-4653-AF1A-0B61D8E5278A}">
  <dimension ref="A1:GY59"/>
  <sheetViews>
    <sheetView tabSelected="1" topLeftCell="GA1" workbookViewId="0">
      <selection activeCell="GN14" sqref="GN14"/>
    </sheetView>
  </sheetViews>
  <sheetFormatPr baseColWidth="10" defaultColWidth="10.7109375" defaultRowHeight="15" x14ac:dyDescent="0.25"/>
  <cols>
    <col min="1" max="1" width="16.7109375" style="2" bestFit="1" customWidth="1"/>
    <col min="2" max="2" width="8.5703125" bestFit="1" customWidth="1"/>
  </cols>
  <sheetData>
    <row r="1" spans="1:207" s="2" customFormat="1" x14ac:dyDescent="0.25">
      <c r="A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</row>
    <row r="2" spans="1:207" x14ac:dyDescent="0.25">
      <c r="A2" s="3"/>
      <c r="B2" t="s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V2">
        <f>SUM(C2:GT2)</f>
        <v>11</v>
      </c>
      <c r="GW2" s="14" t="s">
        <v>1391</v>
      </c>
      <c r="GX2" s="14"/>
      <c r="GY2" s="14"/>
    </row>
    <row r="4" spans="1:207" x14ac:dyDescent="0.25">
      <c r="A4" s="2" t="s">
        <v>254</v>
      </c>
      <c r="B4" t="s">
        <v>255</v>
      </c>
      <c r="C4">
        <v>82</v>
      </c>
      <c r="D4">
        <v>15</v>
      </c>
      <c r="E4">
        <v>4</v>
      </c>
      <c r="F4">
        <v>95</v>
      </c>
      <c r="G4">
        <v>36</v>
      </c>
      <c r="H4">
        <v>32</v>
      </c>
      <c r="I4">
        <v>29</v>
      </c>
      <c r="J4">
        <v>18</v>
      </c>
      <c r="K4">
        <v>95</v>
      </c>
      <c r="L4">
        <v>14</v>
      </c>
      <c r="M4">
        <v>87</v>
      </c>
      <c r="N4">
        <v>95</v>
      </c>
      <c r="O4">
        <v>70</v>
      </c>
      <c r="P4">
        <v>12</v>
      </c>
      <c r="Q4">
        <v>76</v>
      </c>
      <c r="R4">
        <v>55</v>
      </c>
      <c r="S4">
        <v>5</v>
      </c>
      <c r="T4">
        <v>4</v>
      </c>
      <c r="U4">
        <v>12</v>
      </c>
      <c r="V4">
        <v>28</v>
      </c>
      <c r="W4">
        <v>30</v>
      </c>
      <c r="X4">
        <v>65</v>
      </c>
      <c r="Y4">
        <v>78</v>
      </c>
      <c r="Z4">
        <v>4</v>
      </c>
      <c r="AA4">
        <v>72</v>
      </c>
      <c r="AB4">
        <v>26</v>
      </c>
      <c r="AC4">
        <v>92</v>
      </c>
      <c r="AD4">
        <v>84</v>
      </c>
      <c r="AE4">
        <v>90</v>
      </c>
      <c r="AF4">
        <v>70</v>
      </c>
      <c r="AG4">
        <v>54</v>
      </c>
      <c r="AH4">
        <v>29</v>
      </c>
      <c r="AI4">
        <v>58</v>
      </c>
      <c r="AJ4">
        <v>76</v>
      </c>
      <c r="AK4">
        <v>36</v>
      </c>
      <c r="AL4">
        <v>1</v>
      </c>
      <c r="AM4">
        <v>98</v>
      </c>
      <c r="AN4">
        <v>21</v>
      </c>
      <c r="AO4">
        <v>90</v>
      </c>
      <c r="AP4">
        <v>55</v>
      </c>
      <c r="AQ4">
        <v>44</v>
      </c>
      <c r="AR4">
        <v>36</v>
      </c>
      <c r="AS4">
        <v>20</v>
      </c>
      <c r="AT4">
        <v>28</v>
      </c>
      <c r="AU4">
        <v>98</v>
      </c>
      <c r="AV4">
        <v>44</v>
      </c>
      <c r="AW4">
        <v>14</v>
      </c>
      <c r="AX4">
        <v>12</v>
      </c>
      <c r="AY4">
        <v>49</v>
      </c>
      <c r="AZ4">
        <v>13</v>
      </c>
      <c r="BA4">
        <v>46</v>
      </c>
      <c r="BB4">
        <v>45</v>
      </c>
      <c r="BC4">
        <v>78</v>
      </c>
      <c r="BD4">
        <v>34</v>
      </c>
      <c r="BE4">
        <v>6</v>
      </c>
      <c r="BF4">
        <v>94</v>
      </c>
      <c r="BG4">
        <v>59</v>
      </c>
      <c r="BH4">
        <v>69</v>
      </c>
      <c r="BI4">
        <v>16</v>
      </c>
      <c r="BJ4">
        <v>49</v>
      </c>
      <c r="BK4">
        <v>11</v>
      </c>
      <c r="BL4">
        <v>71</v>
      </c>
      <c r="BM4">
        <v>38</v>
      </c>
      <c r="BN4">
        <v>81</v>
      </c>
      <c r="BO4">
        <v>80</v>
      </c>
      <c r="BP4">
        <v>47</v>
      </c>
      <c r="BQ4">
        <v>74</v>
      </c>
      <c r="BR4">
        <v>25</v>
      </c>
      <c r="BS4">
        <v>91</v>
      </c>
      <c r="BT4">
        <v>9</v>
      </c>
      <c r="BU4">
        <v>6</v>
      </c>
      <c r="BV4">
        <v>85</v>
      </c>
      <c r="BW4">
        <v>30</v>
      </c>
      <c r="BX4">
        <v>99</v>
      </c>
      <c r="BY4">
        <v>38</v>
      </c>
      <c r="BZ4">
        <v>11</v>
      </c>
      <c r="CA4">
        <v>30</v>
      </c>
      <c r="CB4">
        <v>13</v>
      </c>
      <c r="CC4">
        <v>49</v>
      </c>
      <c r="CD4">
        <v>36</v>
      </c>
      <c r="CE4">
        <v>59</v>
      </c>
      <c r="CF4">
        <v>82</v>
      </c>
      <c r="CG4">
        <v>47</v>
      </c>
      <c r="CH4">
        <v>21</v>
      </c>
      <c r="CI4">
        <v>48</v>
      </c>
      <c r="CJ4">
        <v>46</v>
      </c>
      <c r="CK4">
        <v>27</v>
      </c>
      <c r="CL4">
        <v>86</v>
      </c>
      <c r="CM4">
        <v>35</v>
      </c>
      <c r="CN4">
        <v>90</v>
      </c>
      <c r="CO4">
        <v>88</v>
      </c>
      <c r="CP4">
        <v>83</v>
      </c>
      <c r="CQ4">
        <v>10</v>
      </c>
      <c r="CR4">
        <v>78</v>
      </c>
      <c r="CS4">
        <v>82</v>
      </c>
      <c r="CT4">
        <v>22</v>
      </c>
      <c r="CU4">
        <v>69</v>
      </c>
      <c r="CV4">
        <v>94</v>
      </c>
      <c r="CW4">
        <v>32</v>
      </c>
      <c r="CX4">
        <v>21</v>
      </c>
      <c r="CY4">
        <v>60</v>
      </c>
      <c r="CZ4">
        <v>49</v>
      </c>
      <c r="DA4">
        <v>35</v>
      </c>
      <c r="DB4">
        <v>82</v>
      </c>
      <c r="DC4">
        <v>89</v>
      </c>
      <c r="DD4">
        <v>72</v>
      </c>
      <c r="DE4">
        <v>29</v>
      </c>
      <c r="DF4">
        <v>88</v>
      </c>
      <c r="DG4">
        <v>42</v>
      </c>
      <c r="DH4">
        <v>99</v>
      </c>
      <c r="DI4">
        <v>100</v>
      </c>
      <c r="DJ4">
        <v>8</v>
      </c>
      <c r="DK4">
        <v>30</v>
      </c>
      <c r="DL4">
        <v>5</v>
      </c>
      <c r="DM4">
        <v>41</v>
      </c>
      <c r="DN4">
        <v>52</v>
      </c>
      <c r="DO4">
        <v>35</v>
      </c>
      <c r="DP4">
        <v>9</v>
      </c>
      <c r="DQ4">
        <v>28</v>
      </c>
      <c r="DR4">
        <v>73</v>
      </c>
      <c r="DS4">
        <v>92</v>
      </c>
      <c r="DT4">
        <v>41</v>
      </c>
      <c r="DU4">
        <v>28</v>
      </c>
      <c r="DV4">
        <v>84</v>
      </c>
      <c r="DW4">
        <v>64</v>
      </c>
      <c r="DX4">
        <v>51</v>
      </c>
      <c r="DY4">
        <v>83</v>
      </c>
      <c r="DZ4">
        <v>59</v>
      </c>
      <c r="EA4">
        <v>19</v>
      </c>
      <c r="EB4">
        <v>34</v>
      </c>
      <c r="EC4">
        <v>18</v>
      </c>
      <c r="ED4">
        <v>32</v>
      </c>
      <c r="EE4">
        <v>96</v>
      </c>
      <c r="EF4">
        <v>72</v>
      </c>
      <c r="EG4">
        <v>69</v>
      </c>
      <c r="EH4">
        <v>34</v>
      </c>
      <c r="EI4">
        <v>96</v>
      </c>
      <c r="EJ4">
        <v>75</v>
      </c>
      <c r="EK4">
        <v>55</v>
      </c>
      <c r="EL4">
        <v>75</v>
      </c>
      <c r="EM4">
        <v>52</v>
      </c>
      <c r="EN4">
        <v>47</v>
      </c>
      <c r="EO4">
        <v>29</v>
      </c>
      <c r="EP4">
        <v>18</v>
      </c>
      <c r="EQ4">
        <v>66</v>
      </c>
      <c r="ER4">
        <v>64</v>
      </c>
      <c r="ES4">
        <v>12</v>
      </c>
      <c r="ET4">
        <v>97</v>
      </c>
      <c r="EU4">
        <v>7</v>
      </c>
      <c r="EV4">
        <v>15</v>
      </c>
      <c r="EW4">
        <v>20</v>
      </c>
      <c r="EX4">
        <v>81</v>
      </c>
      <c r="EY4">
        <v>21</v>
      </c>
      <c r="EZ4">
        <v>88</v>
      </c>
      <c r="FA4">
        <v>55</v>
      </c>
      <c r="FB4">
        <v>77</v>
      </c>
      <c r="FC4">
        <v>9</v>
      </c>
      <c r="FD4">
        <v>50</v>
      </c>
      <c r="FE4">
        <v>49</v>
      </c>
      <c r="FF4">
        <v>77</v>
      </c>
      <c r="FG4">
        <v>60</v>
      </c>
      <c r="FH4">
        <v>68</v>
      </c>
      <c r="FI4">
        <v>33</v>
      </c>
      <c r="FJ4">
        <v>71</v>
      </c>
      <c r="FK4">
        <v>2</v>
      </c>
      <c r="FL4">
        <v>88</v>
      </c>
      <c r="FM4">
        <v>93</v>
      </c>
      <c r="FN4">
        <v>15</v>
      </c>
      <c r="FO4">
        <v>88</v>
      </c>
      <c r="FP4">
        <v>69</v>
      </c>
      <c r="FQ4">
        <v>97</v>
      </c>
      <c r="FR4">
        <v>35</v>
      </c>
      <c r="FS4">
        <v>99</v>
      </c>
      <c r="FT4">
        <v>83</v>
      </c>
      <c r="FU4">
        <v>44</v>
      </c>
      <c r="FV4">
        <v>15</v>
      </c>
      <c r="FW4">
        <v>38</v>
      </c>
      <c r="FX4">
        <v>56</v>
      </c>
      <c r="FY4">
        <v>21</v>
      </c>
      <c r="FZ4">
        <v>59</v>
      </c>
      <c r="GA4">
        <v>1</v>
      </c>
      <c r="GB4">
        <v>93</v>
      </c>
      <c r="GC4">
        <v>93</v>
      </c>
      <c r="GD4">
        <v>34</v>
      </c>
      <c r="GE4">
        <v>65</v>
      </c>
      <c r="GF4">
        <v>98</v>
      </c>
      <c r="GG4">
        <v>23</v>
      </c>
      <c r="GH4">
        <v>65</v>
      </c>
      <c r="GI4">
        <v>14</v>
      </c>
      <c r="GJ4">
        <v>81</v>
      </c>
      <c r="GK4">
        <v>39</v>
      </c>
      <c r="GL4">
        <v>82</v>
      </c>
      <c r="GM4">
        <v>65</v>
      </c>
      <c r="GN4">
        <v>78</v>
      </c>
      <c r="GO4">
        <v>26</v>
      </c>
      <c r="GP4">
        <v>20</v>
      </c>
      <c r="GQ4">
        <v>48</v>
      </c>
      <c r="GR4">
        <v>98</v>
      </c>
      <c r="GS4">
        <v>21</v>
      </c>
      <c r="GT4">
        <v>70</v>
      </c>
      <c r="GV4">
        <f>SUMPRODUCT(Objective_coefficients, Decision_variables)</f>
        <v>91</v>
      </c>
      <c r="GW4" t="s">
        <v>1392</v>
      </c>
    </row>
    <row r="6" spans="1:207" x14ac:dyDescent="0.25">
      <c r="A6" s="2" t="s">
        <v>256</v>
      </c>
      <c r="B6" t="s">
        <v>203</v>
      </c>
      <c r="C6">
        <v>1</v>
      </c>
      <c r="H6">
        <v>1</v>
      </c>
      <c r="T6">
        <v>1</v>
      </c>
      <c r="AD6">
        <v>1</v>
      </c>
      <c r="AF6">
        <v>1</v>
      </c>
      <c r="AI6">
        <v>1</v>
      </c>
      <c r="AK6">
        <v>1</v>
      </c>
      <c r="AY6">
        <v>1</v>
      </c>
      <c r="BK6">
        <v>1</v>
      </c>
      <c r="BV6">
        <v>1</v>
      </c>
      <c r="CN6">
        <v>1</v>
      </c>
      <c r="CT6">
        <v>1</v>
      </c>
      <c r="DF6">
        <v>1</v>
      </c>
      <c r="DN6">
        <v>1</v>
      </c>
      <c r="EB6">
        <v>1</v>
      </c>
      <c r="EF6">
        <v>1</v>
      </c>
      <c r="EK6">
        <v>1</v>
      </c>
      <c r="EP6">
        <v>1</v>
      </c>
      <c r="FA6">
        <v>1</v>
      </c>
      <c r="FE6">
        <v>1</v>
      </c>
      <c r="FM6">
        <v>1</v>
      </c>
      <c r="FX6">
        <v>1</v>
      </c>
      <c r="FZ6">
        <v>1</v>
      </c>
      <c r="GT6">
        <v>1</v>
      </c>
      <c r="GV6">
        <f>SUMPRODUCT(Constraint_0,Decision_variables)</f>
        <v>1</v>
      </c>
      <c r="GW6" t="s">
        <v>253</v>
      </c>
      <c r="GX6">
        <v>1</v>
      </c>
    </row>
    <row r="7" spans="1:207" x14ac:dyDescent="0.25">
      <c r="B7" t="s">
        <v>204</v>
      </c>
      <c r="C7">
        <v>1</v>
      </c>
      <c r="H7">
        <v>1</v>
      </c>
      <c r="AO7">
        <v>1</v>
      </c>
      <c r="AS7">
        <v>1</v>
      </c>
      <c r="AV7">
        <v>1</v>
      </c>
      <c r="BW7">
        <v>1</v>
      </c>
      <c r="BY7">
        <v>1</v>
      </c>
      <c r="CA7">
        <v>1</v>
      </c>
      <c r="CI7">
        <v>1</v>
      </c>
      <c r="CR7">
        <v>1</v>
      </c>
      <c r="DV7">
        <v>1</v>
      </c>
      <c r="EE7">
        <v>1</v>
      </c>
      <c r="EW7">
        <v>1</v>
      </c>
      <c r="FD7">
        <v>1</v>
      </c>
      <c r="FN7">
        <v>1</v>
      </c>
      <c r="GA7">
        <v>1</v>
      </c>
      <c r="GF7">
        <v>1</v>
      </c>
      <c r="GS7">
        <v>1</v>
      </c>
      <c r="GV7">
        <f>SUMPRODUCT(Constraint_1,Decision_variables)</f>
        <v>1</v>
      </c>
      <c r="GW7" t="s">
        <v>253</v>
      </c>
      <c r="GX7">
        <v>1</v>
      </c>
    </row>
    <row r="8" spans="1:207" x14ac:dyDescent="0.25">
      <c r="B8" t="s">
        <v>205</v>
      </c>
      <c r="J8">
        <v>1</v>
      </c>
      <c r="AI8">
        <v>1</v>
      </c>
      <c r="AM8">
        <v>1</v>
      </c>
      <c r="AV8">
        <v>1</v>
      </c>
      <c r="AY8">
        <v>1</v>
      </c>
      <c r="BI8">
        <v>1</v>
      </c>
      <c r="CC8">
        <v>1</v>
      </c>
      <c r="CM8">
        <v>1</v>
      </c>
      <c r="DE8">
        <v>1</v>
      </c>
      <c r="DO8">
        <v>1</v>
      </c>
      <c r="DU8">
        <v>1</v>
      </c>
      <c r="DX8">
        <v>1</v>
      </c>
      <c r="EA8">
        <v>1</v>
      </c>
      <c r="EN8">
        <v>1</v>
      </c>
      <c r="EO8">
        <v>1</v>
      </c>
      <c r="ES8">
        <v>1</v>
      </c>
      <c r="EW8">
        <v>1</v>
      </c>
      <c r="FH8">
        <v>1</v>
      </c>
      <c r="FI8">
        <v>1</v>
      </c>
      <c r="FP8">
        <v>1</v>
      </c>
      <c r="FS8">
        <v>1</v>
      </c>
      <c r="GV8">
        <f>SUMPRODUCT(Constraint_2,Decision_variables)</f>
        <v>1</v>
      </c>
      <c r="GW8" t="s">
        <v>253</v>
      </c>
      <c r="GX8">
        <v>1</v>
      </c>
    </row>
    <row r="9" spans="1:207" x14ac:dyDescent="0.25">
      <c r="B9" t="s">
        <v>206</v>
      </c>
      <c r="C9">
        <v>1</v>
      </c>
      <c r="I9">
        <v>1</v>
      </c>
      <c r="M9">
        <v>1</v>
      </c>
      <c r="T9">
        <v>1</v>
      </c>
      <c r="V9">
        <v>1</v>
      </c>
      <c r="W9">
        <v>1</v>
      </c>
      <c r="X9">
        <v>1</v>
      </c>
      <c r="AI9">
        <v>1</v>
      </c>
      <c r="BL9">
        <v>1</v>
      </c>
      <c r="BT9">
        <v>1</v>
      </c>
      <c r="BZ9">
        <v>1</v>
      </c>
      <c r="DE9">
        <v>1</v>
      </c>
      <c r="DG9">
        <v>1</v>
      </c>
      <c r="DL9">
        <v>1</v>
      </c>
      <c r="DR9">
        <v>1</v>
      </c>
      <c r="EC9">
        <v>1</v>
      </c>
      <c r="EW9">
        <v>1</v>
      </c>
      <c r="FE9">
        <v>1</v>
      </c>
      <c r="FT9">
        <v>1</v>
      </c>
      <c r="FV9">
        <v>1</v>
      </c>
      <c r="GA9">
        <v>1</v>
      </c>
      <c r="GF9">
        <v>1</v>
      </c>
      <c r="GN9">
        <v>1</v>
      </c>
      <c r="GP9">
        <v>1</v>
      </c>
      <c r="GV9">
        <f>SUMPRODUCT(Constraint_3,Decision_variables)</f>
        <v>3</v>
      </c>
      <c r="GW9" t="s">
        <v>253</v>
      </c>
      <c r="GX9">
        <v>1</v>
      </c>
    </row>
    <row r="10" spans="1:207" x14ac:dyDescent="0.25">
      <c r="B10" t="s">
        <v>207</v>
      </c>
      <c r="D10">
        <v>1</v>
      </c>
      <c r="G10">
        <v>1</v>
      </c>
      <c r="J10">
        <v>1</v>
      </c>
      <c r="P10">
        <v>1</v>
      </c>
      <c r="X10">
        <v>1</v>
      </c>
      <c r="AD10">
        <v>1</v>
      </c>
      <c r="AE10">
        <v>1</v>
      </c>
      <c r="AK10">
        <v>1</v>
      </c>
      <c r="AT10">
        <v>1</v>
      </c>
      <c r="AZ10">
        <v>1</v>
      </c>
      <c r="BJ10">
        <v>1</v>
      </c>
      <c r="BP10">
        <v>1</v>
      </c>
      <c r="BS10">
        <v>1</v>
      </c>
      <c r="CN10">
        <v>1</v>
      </c>
      <c r="DH10">
        <v>1</v>
      </c>
      <c r="DN10">
        <v>1</v>
      </c>
      <c r="DP10">
        <v>1</v>
      </c>
      <c r="DR10">
        <v>1</v>
      </c>
      <c r="EK10">
        <v>1</v>
      </c>
      <c r="EQ10">
        <v>1</v>
      </c>
      <c r="ES10">
        <v>1</v>
      </c>
      <c r="FB10">
        <v>1</v>
      </c>
      <c r="FL10">
        <v>1</v>
      </c>
      <c r="FO10">
        <v>1</v>
      </c>
      <c r="FW10">
        <v>1</v>
      </c>
      <c r="GG10">
        <v>1</v>
      </c>
      <c r="GL10">
        <v>1</v>
      </c>
      <c r="GT10">
        <v>1</v>
      </c>
      <c r="GV10">
        <f>SUMPRODUCT(Constraint_4,Decision_variables)</f>
        <v>2</v>
      </c>
      <c r="GW10" t="s">
        <v>253</v>
      </c>
      <c r="GX10">
        <v>1</v>
      </c>
    </row>
    <row r="11" spans="1:207" x14ac:dyDescent="0.25">
      <c r="B11" t="s">
        <v>208</v>
      </c>
      <c r="D11">
        <v>1</v>
      </c>
      <c r="R11">
        <v>1</v>
      </c>
      <c r="X11">
        <v>1</v>
      </c>
      <c r="AA11">
        <v>1</v>
      </c>
      <c r="AI11">
        <v>1</v>
      </c>
      <c r="BF11">
        <v>1</v>
      </c>
      <c r="BG11">
        <v>1</v>
      </c>
      <c r="BQ11">
        <v>1</v>
      </c>
      <c r="BY11">
        <v>1</v>
      </c>
      <c r="CA11">
        <v>1</v>
      </c>
      <c r="CQ11">
        <v>1</v>
      </c>
      <c r="CT11">
        <v>1</v>
      </c>
      <c r="CV11">
        <v>1</v>
      </c>
      <c r="DJ11">
        <v>1</v>
      </c>
      <c r="DM11">
        <v>1</v>
      </c>
      <c r="DU11">
        <v>1</v>
      </c>
      <c r="DV11">
        <v>1</v>
      </c>
      <c r="DY11">
        <v>1</v>
      </c>
      <c r="EA11">
        <v>1</v>
      </c>
      <c r="EY11">
        <v>1</v>
      </c>
      <c r="FI11">
        <v>1</v>
      </c>
      <c r="FL11">
        <v>1</v>
      </c>
      <c r="FU11">
        <v>1</v>
      </c>
      <c r="GG11">
        <v>1</v>
      </c>
      <c r="GL11">
        <v>1</v>
      </c>
      <c r="GM11">
        <v>1</v>
      </c>
      <c r="GV11">
        <f>SUMPRODUCT(Constraint_5,Decision_variables)</f>
        <v>1</v>
      </c>
      <c r="GW11" t="s">
        <v>253</v>
      </c>
      <c r="GX11">
        <v>1</v>
      </c>
    </row>
    <row r="12" spans="1:207" x14ac:dyDescent="0.25">
      <c r="B12" t="s">
        <v>209</v>
      </c>
      <c r="L12">
        <v>1</v>
      </c>
      <c r="M12">
        <v>1</v>
      </c>
      <c r="O12">
        <v>1</v>
      </c>
      <c r="P12">
        <v>1</v>
      </c>
      <c r="AD12">
        <v>1</v>
      </c>
      <c r="AG12">
        <v>1</v>
      </c>
      <c r="AQ12">
        <v>1</v>
      </c>
      <c r="BK12">
        <v>1</v>
      </c>
      <c r="CI12">
        <v>1</v>
      </c>
      <c r="CL12">
        <v>1</v>
      </c>
      <c r="DB12">
        <v>1</v>
      </c>
      <c r="DF12">
        <v>1</v>
      </c>
      <c r="DL12">
        <v>1</v>
      </c>
      <c r="DZ12">
        <v>1</v>
      </c>
      <c r="EP12">
        <v>1</v>
      </c>
      <c r="EU12">
        <v>1</v>
      </c>
      <c r="FC12">
        <v>1</v>
      </c>
      <c r="FH12">
        <v>1</v>
      </c>
      <c r="FN12">
        <v>1</v>
      </c>
      <c r="FQ12">
        <v>1</v>
      </c>
      <c r="FR12">
        <v>1</v>
      </c>
      <c r="FT12">
        <v>1</v>
      </c>
      <c r="GD12">
        <v>1</v>
      </c>
      <c r="GF12">
        <v>1</v>
      </c>
      <c r="GM12">
        <v>1</v>
      </c>
      <c r="GP12">
        <v>1</v>
      </c>
      <c r="GQ12">
        <v>1</v>
      </c>
      <c r="GV12">
        <f>SUMPRODUCT(Constraint_6,Decision_variables)</f>
        <v>4</v>
      </c>
      <c r="GW12" t="s">
        <v>253</v>
      </c>
      <c r="GX12">
        <v>1</v>
      </c>
    </row>
    <row r="13" spans="1:207" x14ac:dyDescent="0.25">
      <c r="B13" t="s">
        <v>210</v>
      </c>
      <c r="C13">
        <v>1</v>
      </c>
      <c r="G13">
        <v>1</v>
      </c>
      <c r="AG13">
        <v>1</v>
      </c>
      <c r="AK13">
        <v>1</v>
      </c>
      <c r="AV13">
        <v>1</v>
      </c>
      <c r="AX13">
        <v>1</v>
      </c>
      <c r="BA13">
        <v>1</v>
      </c>
      <c r="BM13">
        <v>1</v>
      </c>
      <c r="CF13">
        <v>1</v>
      </c>
      <c r="CH13">
        <v>1</v>
      </c>
      <c r="CY13">
        <v>1</v>
      </c>
      <c r="CZ13">
        <v>1</v>
      </c>
      <c r="DH13">
        <v>1</v>
      </c>
      <c r="DJ13">
        <v>1</v>
      </c>
      <c r="DQ13">
        <v>1</v>
      </c>
      <c r="DT13">
        <v>1</v>
      </c>
      <c r="EB13">
        <v>1</v>
      </c>
      <c r="EE13">
        <v>1</v>
      </c>
      <c r="EG13">
        <v>1</v>
      </c>
      <c r="FK13">
        <v>1</v>
      </c>
      <c r="FM13">
        <v>1</v>
      </c>
      <c r="FQ13">
        <v>1</v>
      </c>
      <c r="FU13">
        <v>1</v>
      </c>
      <c r="FY13">
        <v>1</v>
      </c>
      <c r="GB13">
        <v>1</v>
      </c>
      <c r="GI13">
        <v>1</v>
      </c>
      <c r="GQ13">
        <v>1</v>
      </c>
      <c r="GV13">
        <f>SUMPRODUCT(Constraint_7,Decision_variables)</f>
        <v>1</v>
      </c>
      <c r="GW13" t="s">
        <v>253</v>
      </c>
      <c r="GX13">
        <v>1</v>
      </c>
    </row>
    <row r="14" spans="1:207" x14ac:dyDescent="0.25">
      <c r="B14" t="s">
        <v>211</v>
      </c>
      <c r="E14">
        <v>1</v>
      </c>
      <c r="K14">
        <v>1</v>
      </c>
      <c r="O14">
        <v>1</v>
      </c>
      <c r="AC14">
        <v>1</v>
      </c>
      <c r="AE14">
        <v>1</v>
      </c>
      <c r="AG14">
        <v>1</v>
      </c>
      <c r="AM14">
        <v>1</v>
      </c>
      <c r="BB14">
        <v>1</v>
      </c>
      <c r="BM14">
        <v>1</v>
      </c>
      <c r="BX14">
        <v>1</v>
      </c>
      <c r="BY14">
        <v>1</v>
      </c>
      <c r="CF14">
        <v>1</v>
      </c>
      <c r="DF14">
        <v>1</v>
      </c>
      <c r="EE14">
        <v>1</v>
      </c>
      <c r="EK14">
        <v>1</v>
      </c>
      <c r="EO14">
        <v>1</v>
      </c>
      <c r="FI14">
        <v>1</v>
      </c>
      <c r="FJ14">
        <v>1</v>
      </c>
      <c r="FP14">
        <v>1</v>
      </c>
      <c r="FQ14">
        <v>1</v>
      </c>
      <c r="FW14">
        <v>1</v>
      </c>
      <c r="FZ14">
        <v>1</v>
      </c>
      <c r="GG14">
        <v>1</v>
      </c>
      <c r="GN14" s="15">
        <v>1</v>
      </c>
      <c r="GV14">
        <f>SUMPRODUCT(Constraint_8,Decision_variables)</f>
        <v>1</v>
      </c>
      <c r="GW14" t="s">
        <v>253</v>
      </c>
      <c r="GX14">
        <v>1</v>
      </c>
    </row>
    <row r="15" spans="1:207" x14ac:dyDescent="0.25">
      <c r="B15" t="s">
        <v>212</v>
      </c>
      <c r="U15">
        <v>1</v>
      </c>
      <c r="AH15">
        <v>1</v>
      </c>
      <c r="AK15">
        <v>1</v>
      </c>
      <c r="AM15">
        <v>1</v>
      </c>
      <c r="AO15">
        <v>1</v>
      </c>
      <c r="BH15">
        <v>1</v>
      </c>
      <c r="BK15">
        <v>1</v>
      </c>
      <c r="BR15">
        <v>1</v>
      </c>
      <c r="CE15">
        <v>1</v>
      </c>
      <c r="CP15">
        <v>1</v>
      </c>
      <c r="DI15">
        <v>1</v>
      </c>
      <c r="DR15">
        <v>1</v>
      </c>
      <c r="EH15">
        <v>1</v>
      </c>
      <c r="EJ15">
        <v>1</v>
      </c>
      <c r="EL15">
        <v>1</v>
      </c>
      <c r="EP15">
        <v>1</v>
      </c>
      <c r="EQ15">
        <v>1</v>
      </c>
      <c r="EX15">
        <v>1</v>
      </c>
      <c r="EZ15">
        <v>1</v>
      </c>
      <c r="FL15">
        <v>1</v>
      </c>
      <c r="FR15">
        <v>1</v>
      </c>
      <c r="FX15">
        <v>1</v>
      </c>
      <c r="GG15">
        <v>1</v>
      </c>
      <c r="GL15">
        <v>1</v>
      </c>
      <c r="GQ15">
        <v>1</v>
      </c>
      <c r="GT15">
        <v>1</v>
      </c>
      <c r="GV15">
        <f>SUMPRODUCT(Constraint_9,Decision_variables)</f>
        <v>1</v>
      </c>
      <c r="GW15" t="s">
        <v>253</v>
      </c>
      <c r="GX15">
        <v>1</v>
      </c>
    </row>
    <row r="16" spans="1:207" x14ac:dyDescent="0.25">
      <c r="B16" t="s">
        <v>213</v>
      </c>
      <c r="E16">
        <v>1</v>
      </c>
      <c r="S16">
        <v>1</v>
      </c>
      <c r="T16">
        <v>1</v>
      </c>
      <c r="X16">
        <v>1</v>
      </c>
      <c r="AE16">
        <v>1</v>
      </c>
      <c r="AJ16">
        <v>1</v>
      </c>
      <c r="AO16">
        <v>1</v>
      </c>
      <c r="AQ16">
        <v>1</v>
      </c>
      <c r="BF16">
        <v>1</v>
      </c>
      <c r="BN16">
        <v>1</v>
      </c>
      <c r="BX16">
        <v>1</v>
      </c>
      <c r="DM16">
        <v>1</v>
      </c>
      <c r="DN16">
        <v>1</v>
      </c>
      <c r="DZ16">
        <v>1</v>
      </c>
      <c r="EV16">
        <v>1</v>
      </c>
      <c r="EY16">
        <v>1</v>
      </c>
      <c r="FB16">
        <v>1</v>
      </c>
      <c r="FK16">
        <v>1</v>
      </c>
      <c r="GV16">
        <f>SUMPRODUCT(Constraint_10,Decision_variables)</f>
        <v>3</v>
      </c>
      <c r="GW16" t="s">
        <v>253</v>
      </c>
      <c r="GX16">
        <v>1</v>
      </c>
    </row>
    <row r="17" spans="2:206" x14ac:dyDescent="0.25">
      <c r="B17" t="s">
        <v>214</v>
      </c>
      <c r="P17">
        <v>1</v>
      </c>
      <c r="X17">
        <v>1</v>
      </c>
      <c r="AO17">
        <v>1</v>
      </c>
      <c r="AV17">
        <v>1</v>
      </c>
      <c r="BC17">
        <v>1</v>
      </c>
      <c r="BZ17">
        <v>1</v>
      </c>
      <c r="CP17">
        <v>1</v>
      </c>
      <c r="CS17">
        <v>1</v>
      </c>
      <c r="DC17">
        <v>1</v>
      </c>
      <c r="DG17">
        <v>1</v>
      </c>
      <c r="DX17">
        <v>1</v>
      </c>
      <c r="DY17">
        <v>1</v>
      </c>
      <c r="EY17">
        <v>1</v>
      </c>
      <c r="FJ17">
        <v>1</v>
      </c>
      <c r="FY17">
        <v>1</v>
      </c>
      <c r="GA17">
        <v>1</v>
      </c>
      <c r="GS17">
        <v>1</v>
      </c>
      <c r="GT17">
        <v>1</v>
      </c>
      <c r="GV17">
        <f>SUMPRODUCT(Constraint_11,Decision_variables)</f>
        <v>2</v>
      </c>
      <c r="GW17" t="s">
        <v>253</v>
      </c>
      <c r="GX17">
        <v>1</v>
      </c>
    </row>
    <row r="18" spans="2:206" x14ac:dyDescent="0.25">
      <c r="B18" t="s">
        <v>215</v>
      </c>
      <c r="F18">
        <v>1</v>
      </c>
      <c r="L18">
        <v>1</v>
      </c>
      <c r="O18">
        <v>1</v>
      </c>
      <c r="U18">
        <v>1</v>
      </c>
      <c r="AX18">
        <v>1</v>
      </c>
      <c r="BB18">
        <v>1</v>
      </c>
      <c r="BH18">
        <v>1</v>
      </c>
      <c r="BJ18">
        <v>1</v>
      </c>
      <c r="CD18">
        <v>1</v>
      </c>
      <c r="CJ18">
        <v>1</v>
      </c>
      <c r="CT18">
        <v>1</v>
      </c>
      <c r="DA18">
        <v>1</v>
      </c>
      <c r="EC18">
        <v>1</v>
      </c>
      <c r="EJ18">
        <v>1</v>
      </c>
      <c r="EM18">
        <v>1</v>
      </c>
      <c r="FC18">
        <v>1</v>
      </c>
      <c r="FJ18">
        <v>1</v>
      </c>
      <c r="FU18">
        <v>1</v>
      </c>
      <c r="GV18">
        <f>SUMPRODUCT(Constraint_12,Decision_variables)</f>
        <v>1</v>
      </c>
      <c r="GW18" t="s">
        <v>253</v>
      </c>
      <c r="GX18">
        <v>1</v>
      </c>
    </row>
    <row r="19" spans="2:206" x14ac:dyDescent="0.25">
      <c r="B19" t="s">
        <v>216</v>
      </c>
      <c r="F19">
        <v>1</v>
      </c>
      <c r="K19">
        <v>1</v>
      </c>
      <c r="S19">
        <v>1</v>
      </c>
      <c r="V19">
        <v>1</v>
      </c>
      <c r="AB19">
        <v>1</v>
      </c>
      <c r="AE19">
        <v>1</v>
      </c>
      <c r="AH19">
        <v>1</v>
      </c>
      <c r="AM19">
        <v>1</v>
      </c>
      <c r="BF19">
        <v>1</v>
      </c>
      <c r="BS19">
        <v>1</v>
      </c>
      <c r="BT19">
        <v>1</v>
      </c>
      <c r="BZ19">
        <v>1</v>
      </c>
      <c r="CS19">
        <v>1</v>
      </c>
      <c r="DA19">
        <v>1</v>
      </c>
      <c r="DL19">
        <v>1</v>
      </c>
      <c r="ED19">
        <v>1</v>
      </c>
      <c r="FS19">
        <v>1</v>
      </c>
      <c r="FU19">
        <v>1</v>
      </c>
      <c r="FW19">
        <v>1</v>
      </c>
      <c r="FX19">
        <v>1</v>
      </c>
      <c r="GJ19">
        <v>1</v>
      </c>
      <c r="GQ19">
        <v>1</v>
      </c>
      <c r="GV19">
        <f>SUMPRODUCT(Constraint_13,Decision_variables)</f>
        <v>3</v>
      </c>
      <c r="GW19" t="s">
        <v>253</v>
      </c>
      <c r="GX19">
        <v>1</v>
      </c>
    </row>
    <row r="20" spans="2:206" x14ac:dyDescent="0.25">
      <c r="B20" t="s">
        <v>217</v>
      </c>
      <c r="G20">
        <v>1</v>
      </c>
      <c r="H20">
        <v>1</v>
      </c>
      <c r="AR20">
        <v>1</v>
      </c>
      <c r="AS20">
        <v>1</v>
      </c>
      <c r="BH20">
        <v>1</v>
      </c>
      <c r="BK20">
        <v>1</v>
      </c>
      <c r="BR20">
        <v>1</v>
      </c>
      <c r="BW20">
        <v>1</v>
      </c>
      <c r="CB20">
        <v>1</v>
      </c>
      <c r="CY20">
        <v>1</v>
      </c>
      <c r="DC20">
        <v>1</v>
      </c>
      <c r="DO20">
        <v>1</v>
      </c>
      <c r="DP20">
        <v>1</v>
      </c>
      <c r="DQ20">
        <v>1</v>
      </c>
      <c r="DV20">
        <v>1</v>
      </c>
      <c r="EG20">
        <v>1</v>
      </c>
      <c r="EN20">
        <v>1</v>
      </c>
      <c r="ET20">
        <v>1</v>
      </c>
      <c r="EZ20">
        <v>1</v>
      </c>
      <c r="FF20">
        <v>1</v>
      </c>
      <c r="FL20">
        <v>1</v>
      </c>
      <c r="FN20">
        <v>1</v>
      </c>
      <c r="FO20">
        <v>1</v>
      </c>
      <c r="FX20">
        <v>1</v>
      </c>
      <c r="GD20">
        <v>1</v>
      </c>
      <c r="GJ20">
        <v>1</v>
      </c>
      <c r="GQ20">
        <v>1</v>
      </c>
      <c r="GR20">
        <v>1</v>
      </c>
      <c r="GV20">
        <f>SUMPRODUCT(Constraint_14,Decision_variables)</f>
        <v>2</v>
      </c>
      <c r="GW20" t="s">
        <v>253</v>
      </c>
      <c r="GX20">
        <v>1</v>
      </c>
    </row>
    <row r="21" spans="2:206" x14ac:dyDescent="0.25">
      <c r="B21" t="s">
        <v>218</v>
      </c>
      <c r="C21">
        <v>1</v>
      </c>
      <c r="G21">
        <v>1</v>
      </c>
      <c r="J21">
        <v>1</v>
      </c>
      <c r="L21">
        <v>1</v>
      </c>
      <c r="O21">
        <v>1</v>
      </c>
      <c r="P21">
        <v>1</v>
      </c>
      <c r="Y21">
        <v>1</v>
      </c>
      <c r="Z21">
        <v>1</v>
      </c>
      <c r="AC21">
        <v>1</v>
      </c>
      <c r="AE21">
        <v>1</v>
      </c>
      <c r="AM21">
        <v>1</v>
      </c>
      <c r="AO21">
        <v>1</v>
      </c>
      <c r="BI21">
        <v>1</v>
      </c>
      <c r="BK21">
        <v>1</v>
      </c>
      <c r="BM21">
        <v>1</v>
      </c>
      <c r="BO21">
        <v>1</v>
      </c>
      <c r="CD21">
        <v>1</v>
      </c>
      <c r="CQ21">
        <v>1</v>
      </c>
      <c r="CR21">
        <v>1</v>
      </c>
      <c r="CT21">
        <v>1</v>
      </c>
      <c r="CU21">
        <v>1</v>
      </c>
      <c r="CW21">
        <v>1</v>
      </c>
      <c r="DJ21">
        <v>1</v>
      </c>
      <c r="DM21">
        <v>1</v>
      </c>
      <c r="EE21">
        <v>1</v>
      </c>
      <c r="EM21">
        <v>1</v>
      </c>
      <c r="EX21">
        <v>1</v>
      </c>
      <c r="EZ21">
        <v>1</v>
      </c>
      <c r="FC21">
        <v>1</v>
      </c>
      <c r="FQ21">
        <v>1</v>
      </c>
      <c r="FS21">
        <v>1</v>
      </c>
      <c r="GA21">
        <v>1</v>
      </c>
      <c r="GV21">
        <f>SUMPRODUCT(Constraint_15,Decision_variables)</f>
        <v>4</v>
      </c>
      <c r="GW21" t="s">
        <v>253</v>
      </c>
      <c r="GX21">
        <v>1</v>
      </c>
    </row>
    <row r="22" spans="2:206" x14ac:dyDescent="0.25">
      <c r="B22" t="s">
        <v>219</v>
      </c>
      <c r="E22">
        <v>1</v>
      </c>
      <c r="T22">
        <v>1</v>
      </c>
      <c r="AB22">
        <v>1</v>
      </c>
      <c r="AC22">
        <v>1</v>
      </c>
      <c r="AE22">
        <v>1</v>
      </c>
      <c r="AG22">
        <v>1</v>
      </c>
      <c r="AH22">
        <v>1</v>
      </c>
      <c r="AI22">
        <v>1</v>
      </c>
      <c r="AJ22">
        <v>1</v>
      </c>
      <c r="AV22">
        <v>1</v>
      </c>
      <c r="BZ22">
        <v>1</v>
      </c>
      <c r="CA22">
        <v>1</v>
      </c>
      <c r="CG22">
        <v>1</v>
      </c>
      <c r="CS22">
        <v>1</v>
      </c>
      <c r="CY22">
        <v>1</v>
      </c>
      <c r="DM22">
        <v>1</v>
      </c>
      <c r="DP22">
        <v>1</v>
      </c>
      <c r="DV22">
        <v>1</v>
      </c>
      <c r="EB22">
        <v>1</v>
      </c>
      <c r="EQ22">
        <v>1</v>
      </c>
      <c r="FA22">
        <v>1</v>
      </c>
      <c r="FB22">
        <v>1</v>
      </c>
      <c r="FG22">
        <v>1</v>
      </c>
      <c r="FK22">
        <v>1</v>
      </c>
      <c r="FM22">
        <v>1</v>
      </c>
      <c r="FY22">
        <v>1</v>
      </c>
      <c r="GA22">
        <v>1</v>
      </c>
      <c r="GV22">
        <f>SUMPRODUCT(Constraint_16,Decision_variables)</f>
        <v>4</v>
      </c>
      <c r="GW22" t="s">
        <v>253</v>
      </c>
      <c r="GX22">
        <v>1</v>
      </c>
    </row>
    <row r="23" spans="2:206" x14ac:dyDescent="0.25">
      <c r="B23" t="s">
        <v>220</v>
      </c>
      <c r="P23">
        <v>1</v>
      </c>
      <c r="AH23">
        <v>1</v>
      </c>
      <c r="AI23">
        <v>1</v>
      </c>
      <c r="AQ23">
        <v>1</v>
      </c>
      <c r="AT23">
        <v>1</v>
      </c>
      <c r="BO23">
        <v>1</v>
      </c>
      <c r="BP23">
        <v>1</v>
      </c>
      <c r="BQ23">
        <v>1</v>
      </c>
      <c r="BW23">
        <v>1</v>
      </c>
      <c r="CA23">
        <v>1</v>
      </c>
      <c r="CP23">
        <v>1</v>
      </c>
      <c r="CQ23">
        <v>1</v>
      </c>
      <c r="CS23">
        <v>1</v>
      </c>
      <c r="CY23">
        <v>1</v>
      </c>
      <c r="DE23">
        <v>1</v>
      </c>
      <c r="DR23">
        <v>1</v>
      </c>
      <c r="DU23">
        <v>1</v>
      </c>
      <c r="DY23">
        <v>1</v>
      </c>
      <c r="ED23">
        <v>1</v>
      </c>
      <c r="EI23">
        <v>1</v>
      </c>
      <c r="EK23">
        <v>1</v>
      </c>
      <c r="FK23">
        <v>1</v>
      </c>
      <c r="FS23">
        <v>1</v>
      </c>
      <c r="FU23">
        <v>1</v>
      </c>
      <c r="FX23">
        <v>1</v>
      </c>
      <c r="GG23">
        <v>1</v>
      </c>
      <c r="GS23">
        <v>1</v>
      </c>
      <c r="GV23">
        <f>SUMPRODUCT(Constraint_17,Decision_variables)</f>
        <v>2</v>
      </c>
      <c r="GW23" t="s">
        <v>253</v>
      </c>
      <c r="GX23">
        <v>1</v>
      </c>
    </row>
    <row r="24" spans="2:206" x14ac:dyDescent="0.25">
      <c r="B24" t="s">
        <v>221</v>
      </c>
      <c r="T24">
        <v>1</v>
      </c>
      <c r="AE24">
        <v>1</v>
      </c>
      <c r="AH24">
        <v>1</v>
      </c>
      <c r="BB24">
        <v>1</v>
      </c>
      <c r="BD24">
        <v>1</v>
      </c>
      <c r="BP24">
        <v>1</v>
      </c>
      <c r="CV24">
        <v>1</v>
      </c>
      <c r="DB24">
        <v>1</v>
      </c>
      <c r="DC24">
        <v>1</v>
      </c>
      <c r="DO24">
        <v>1</v>
      </c>
      <c r="EE24">
        <v>1</v>
      </c>
      <c r="EK24">
        <v>1</v>
      </c>
      <c r="ET24">
        <v>1</v>
      </c>
      <c r="EW24">
        <v>1</v>
      </c>
      <c r="FA24">
        <v>1</v>
      </c>
      <c r="FD24">
        <v>1</v>
      </c>
      <c r="FK24">
        <v>1</v>
      </c>
      <c r="GH24">
        <v>1</v>
      </c>
      <c r="GP24">
        <v>1</v>
      </c>
      <c r="GV24">
        <f>SUMPRODUCT(Constraint_18,Decision_variables)</f>
        <v>1</v>
      </c>
      <c r="GW24" t="s">
        <v>253</v>
      </c>
      <c r="GX24">
        <v>1</v>
      </c>
    </row>
    <row r="25" spans="2:206" x14ac:dyDescent="0.25">
      <c r="B25" t="s">
        <v>222</v>
      </c>
      <c r="C25">
        <v>1</v>
      </c>
      <c r="F25">
        <v>1</v>
      </c>
      <c r="AC25">
        <v>1</v>
      </c>
      <c r="AF25">
        <v>1</v>
      </c>
      <c r="AM25">
        <v>1</v>
      </c>
      <c r="AS25">
        <v>1</v>
      </c>
      <c r="BA25">
        <v>1</v>
      </c>
      <c r="BC25">
        <v>1</v>
      </c>
      <c r="BD25">
        <v>1</v>
      </c>
      <c r="BH25">
        <v>1</v>
      </c>
      <c r="BV25">
        <v>1</v>
      </c>
      <c r="CI25">
        <v>1</v>
      </c>
      <c r="CL25">
        <v>1</v>
      </c>
      <c r="CW25">
        <v>1</v>
      </c>
      <c r="CY25">
        <v>1</v>
      </c>
      <c r="DC25">
        <v>1</v>
      </c>
      <c r="DK25">
        <v>1</v>
      </c>
      <c r="DL25">
        <v>1</v>
      </c>
      <c r="DS25">
        <v>1</v>
      </c>
      <c r="DT25">
        <v>1</v>
      </c>
      <c r="EF25">
        <v>1</v>
      </c>
      <c r="FB25">
        <v>1</v>
      </c>
      <c r="FO25">
        <v>1</v>
      </c>
      <c r="FP25">
        <v>1</v>
      </c>
      <c r="GF25">
        <v>1</v>
      </c>
      <c r="GP25">
        <v>1</v>
      </c>
      <c r="GS25">
        <v>1</v>
      </c>
      <c r="GV25">
        <f>SUMPRODUCT(Constraint_19,Decision_variables)</f>
        <v>1</v>
      </c>
      <c r="GW25" t="s">
        <v>253</v>
      </c>
      <c r="GX25">
        <v>1</v>
      </c>
    </row>
    <row r="26" spans="2:206" x14ac:dyDescent="0.25">
      <c r="B26" t="s">
        <v>223</v>
      </c>
      <c r="C26">
        <v>1</v>
      </c>
      <c r="V26">
        <v>1</v>
      </c>
      <c r="AB26">
        <v>1</v>
      </c>
      <c r="AD26">
        <v>1</v>
      </c>
      <c r="BB26">
        <v>1</v>
      </c>
      <c r="BE26">
        <v>1</v>
      </c>
      <c r="BM26">
        <v>1</v>
      </c>
      <c r="BQ26">
        <v>1</v>
      </c>
      <c r="BZ26">
        <v>1</v>
      </c>
      <c r="CQ26">
        <v>1</v>
      </c>
      <c r="CS26">
        <v>1</v>
      </c>
      <c r="CZ26">
        <v>1</v>
      </c>
      <c r="DV26">
        <v>1</v>
      </c>
      <c r="DZ26">
        <v>1</v>
      </c>
      <c r="EB26">
        <v>1</v>
      </c>
      <c r="EM26">
        <v>1</v>
      </c>
      <c r="EN26">
        <v>1</v>
      </c>
      <c r="ES26">
        <v>1</v>
      </c>
      <c r="EW26">
        <v>1</v>
      </c>
      <c r="FJ26">
        <v>1</v>
      </c>
      <c r="FO26">
        <v>1</v>
      </c>
      <c r="GA26">
        <v>1</v>
      </c>
      <c r="GG26">
        <v>1</v>
      </c>
      <c r="GH26">
        <v>1</v>
      </c>
      <c r="GK26">
        <v>1</v>
      </c>
      <c r="GV26">
        <f>SUMPRODUCT(Constraint_20,Decision_variables)</f>
        <v>1</v>
      </c>
      <c r="GW26" t="s">
        <v>253</v>
      </c>
      <c r="GX26">
        <v>1</v>
      </c>
    </row>
    <row r="27" spans="2:206" x14ac:dyDescent="0.25">
      <c r="B27" t="s">
        <v>224</v>
      </c>
      <c r="J27">
        <v>1</v>
      </c>
      <c r="AH27">
        <v>1</v>
      </c>
      <c r="AI27">
        <v>1</v>
      </c>
      <c r="AP27">
        <v>1</v>
      </c>
      <c r="AT27">
        <v>1</v>
      </c>
      <c r="AZ27">
        <v>1</v>
      </c>
      <c r="BG27">
        <v>1</v>
      </c>
      <c r="BQ27">
        <v>1</v>
      </c>
      <c r="BT27">
        <v>1</v>
      </c>
      <c r="BX27">
        <v>1</v>
      </c>
      <c r="BZ27">
        <v>1</v>
      </c>
      <c r="CN27">
        <v>1</v>
      </c>
      <c r="CR27">
        <v>1</v>
      </c>
      <c r="CS27">
        <v>1</v>
      </c>
      <c r="CX27">
        <v>1</v>
      </c>
      <c r="DG27">
        <v>1</v>
      </c>
      <c r="DZ27">
        <v>1</v>
      </c>
      <c r="EK27">
        <v>1</v>
      </c>
      <c r="EM27">
        <v>1</v>
      </c>
      <c r="EQ27">
        <v>1</v>
      </c>
      <c r="ER27">
        <v>1</v>
      </c>
      <c r="FK27">
        <v>1</v>
      </c>
      <c r="FV27">
        <v>1</v>
      </c>
      <c r="FX27">
        <v>1</v>
      </c>
      <c r="GJ27">
        <v>1</v>
      </c>
      <c r="GN27">
        <v>1</v>
      </c>
      <c r="GS27">
        <v>1</v>
      </c>
      <c r="GV27">
        <f>SUMPRODUCT(Constraint_21,Decision_variables)</f>
        <v>2</v>
      </c>
      <c r="GW27" t="s">
        <v>253</v>
      </c>
      <c r="GX27">
        <v>1</v>
      </c>
    </row>
    <row r="28" spans="2:206" x14ac:dyDescent="0.25">
      <c r="B28" t="s">
        <v>225</v>
      </c>
      <c r="L28">
        <v>1</v>
      </c>
      <c r="AE28">
        <v>1</v>
      </c>
      <c r="AM28">
        <v>1</v>
      </c>
      <c r="AN28">
        <v>1</v>
      </c>
      <c r="AS28">
        <v>1</v>
      </c>
      <c r="AU28">
        <v>1</v>
      </c>
      <c r="AW28">
        <v>1</v>
      </c>
      <c r="BV28">
        <v>1</v>
      </c>
      <c r="CB28">
        <v>1</v>
      </c>
      <c r="CM28">
        <v>1</v>
      </c>
      <c r="CS28">
        <v>1</v>
      </c>
      <c r="CX28">
        <v>1</v>
      </c>
      <c r="DY28">
        <v>1</v>
      </c>
      <c r="EM28">
        <v>1</v>
      </c>
      <c r="EW28">
        <v>1</v>
      </c>
      <c r="FB28">
        <v>1</v>
      </c>
      <c r="FF28">
        <v>1</v>
      </c>
      <c r="FT28">
        <v>1</v>
      </c>
      <c r="GO28">
        <v>1</v>
      </c>
      <c r="GP28">
        <v>1</v>
      </c>
      <c r="GQ28">
        <v>1</v>
      </c>
      <c r="GV28">
        <f>SUMPRODUCT(Constraint_22,Decision_variables)</f>
        <v>1</v>
      </c>
      <c r="GW28" t="s">
        <v>253</v>
      </c>
      <c r="GX28">
        <v>1</v>
      </c>
    </row>
    <row r="29" spans="2:206" x14ac:dyDescent="0.25">
      <c r="B29" t="s">
        <v>226</v>
      </c>
      <c r="C29">
        <v>1</v>
      </c>
      <c r="AE29">
        <v>1</v>
      </c>
      <c r="AL29">
        <v>1</v>
      </c>
      <c r="AM29">
        <v>1</v>
      </c>
      <c r="AZ29">
        <v>1</v>
      </c>
      <c r="CG29">
        <v>1</v>
      </c>
      <c r="CN29">
        <v>1</v>
      </c>
      <c r="CO29">
        <v>1</v>
      </c>
      <c r="DC29">
        <v>1</v>
      </c>
      <c r="EC29">
        <v>1</v>
      </c>
      <c r="FI29">
        <v>1</v>
      </c>
      <c r="FK29">
        <v>1</v>
      </c>
      <c r="FL29">
        <v>1</v>
      </c>
      <c r="FM29">
        <v>1</v>
      </c>
      <c r="FN29">
        <v>1</v>
      </c>
      <c r="FQ29">
        <v>1</v>
      </c>
      <c r="FS29">
        <v>1</v>
      </c>
      <c r="FT29">
        <v>1</v>
      </c>
      <c r="GL29">
        <v>1</v>
      </c>
      <c r="GQ29">
        <v>1</v>
      </c>
      <c r="GV29">
        <f>SUMPRODUCT(Constraint_23,Decision_variables)</f>
        <v>1</v>
      </c>
      <c r="GW29" t="s">
        <v>253</v>
      </c>
      <c r="GX29">
        <v>1</v>
      </c>
    </row>
    <row r="30" spans="2:206" x14ac:dyDescent="0.25">
      <c r="B30" t="s">
        <v>227</v>
      </c>
      <c r="T30">
        <v>1</v>
      </c>
      <c r="AQ30">
        <v>1</v>
      </c>
      <c r="AX30">
        <v>1</v>
      </c>
      <c r="BJ30">
        <v>1</v>
      </c>
      <c r="BR30">
        <v>1</v>
      </c>
      <c r="BT30">
        <v>1</v>
      </c>
      <c r="BV30">
        <v>1</v>
      </c>
      <c r="BZ30">
        <v>1</v>
      </c>
      <c r="CJ30">
        <v>1</v>
      </c>
      <c r="CR30">
        <v>1</v>
      </c>
      <c r="DK30">
        <v>1</v>
      </c>
      <c r="EJ30">
        <v>1</v>
      </c>
      <c r="EM30">
        <v>1</v>
      </c>
      <c r="EN30">
        <v>1</v>
      </c>
      <c r="FC30">
        <v>1</v>
      </c>
      <c r="FQ30">
        <v>1</v>
      </c>
      <c r="GH30">
        <v>1</v>
      </c>
      <c r="GV30">
        <f>SUMPRODUCT(Constraint_24,Decision_variables)</f>
        <v>1</v>
      </c>
      <c r="GW30" t="s">
        <v>253</v>
      </c>
      <c r="GX30">
        <v>1</v>
      </c>
    </row>
    <row r="31" spans="2:206" x14ac:dyDescent="0.25">
      <c r="B31" t="s">
        <v>228</v>
      </c>
      <c r="F31">
        <v>1</v>
      </c>
      <c r="N31">
        <v>1</v>
      </c>
      <c r="Y31">
        <v>1</v>
      </c>
      <c r="AC31">
        <v>1</v>
      </c>
      <c r="AT31">
        <v>1</v>
      </c>
      <c r="AU31">
        <v>1</v>
      </c>
      <c r="BB31">
        <v>1</v>
      </c>
      <c r="BC31">
        <v>1</v>
      </c>
      <c r="BX31">
        <v>1</v>
      </c>
      <c r="BY31">
        <v>1</v>
      </c>
      <c r="CJ31">
        <v>1</v>
      </c>
      <c r="CW31">
        <v>1</v>
      </c>
      <c r="DH31">
        <v>1</v>
      </c>
      <c r="EA31">
        <v>1</v>
      </c>
      <c r="EB31">
        <v>1</v>
      </c>
      <c r="EQ31">
        <v>1</v>
      </c>
      <c r="FD31">
        <v>1</v>
      </c>
      <c r="FL31">
        <v>1</v>
      </c>
      <c r="GF31">
        <v>1</v>
      </c>
      <c r="GJ31">
        <v>1</v>
      </c>
      <c r="GT31">
        <v>1</v>
      </c>
      <c r="GV31">
        <f>SUMPRODUCT(Constraint_25,Decision_variables)</f>
        <v>1</v>
      </c>
      <c r="GW31" t="s">
        <v>253</v>
      </c>
      <c r="GX31">
        <v>1</v>
      </c>
    </row>
    <row r="32" spans="2:206" x14ac:dyDescent="0.25">
      <c r="B32" t="s">
        <v>229</v>
      </c>
      <c r="L32">
        <v>1</v>
      </c>
      <c r="M32">
        <v>1</v>
      </c>
      <c r="S32">
        <v>1</v>
      </c>
      <c r="AO32">
        <v>1</v>
      </c>
      <c r="AP32">
        <v>1</v>
      </c>
      <c r="BB32">
        <v>1</v>
      </c>
      <c r="BJ32">
        <v>1</v>
      </c>
      <c r="BS32">
        <v>1</v>
      </c>
      <c r="BT32">
        <v>1</v>
      </c>
      <c r="BV32">
        <v>1</v>
      </c>
      <c r="CA32">
        <v>1</v>
      </c>
      <c r="CN32">
        <v>1</v>
      </c>
      <c r="DJ32">
        <v>1</v>
      </c>
      <c r="DZ32">
        <v>1</v>
      </c>
      <c r="EC32">
        <v>1</v>
      </c>
      <c r="EF32">
        <v>1</v>
      </c>
      <c r="EI32">
        <v>1</v>
      </c>
      <c r="EK32">
        <v>1</v>
      </c>
      <c r="EN32">
        <v>1</v>
      </c>
      <c r="EX32">
        <v>1</v>
      </c>
      <c r="FJ32">
        <v>1</v>
      </c>
      <c r="FO32">
        <v>1</v>
      </c>
      <c r="FR32">
        <v>1</v>
      </c>
      <c r="GB32">
        <v>1</v>
      </c>
      <c r="GJ32">
        <v>1</v>
      </c>
      <c r="GO32">
        <v>1</v>
      </c>
      <c r="GV32">
        <f>SUMPRODUCT(Constraint_26,Decision_variables)</f>
        <v>3</v>
      </c>
      <c r="GW32" t="s">
        <v>253</v>
      </c>
      <c r="GX32">
        <v>1</v>
      </c>
    </row>
    <row r="33" spans="2:206" x14ac:dyDescent="0.25">
      <c r="B33" t="s">
        <v>230</v>
      </c>
      <c r="L33">
        <v>1</v>
      </c>
      <c r="AI33">
        <v>1</v>
      </c>
      <c r="AK33">
        <v>1</v>
      </c>
      <c r="AM33">
        <v>1</v>
      </c>
      <c r="AW33">
        <v>1</v>
      </c>
      <c r="AX33">
        <v>1</v>
      </c>
      <c r="AY33">
        <v>1</v>
      </c>
      <c r="AZ33">
        <v>1</v>
      </c>
      <c r="BE33">
        <v>1</v>
      </c>
      <c r="BK33">
        <v>1</v>
      </c>
      <c r="BN33">
        <v>1</v>
      </c>
      <c r="BW33">
        <v>1</v>
      </c>
      <c r="BY33">
        <v>1</v>
      </c>
      <c r="CN33">
        <v>1</v>
      </c>
      <c r="CO33">
        <v>1</v>
      </c>
      <c r="CP33">
        <v>1</v>
      </c>
      <c r="CQ33">
        <v>1</v>
      </c>
      <c r="CX33">
        <v>1</v>
      </c>
      <c r="DQ33">
        <v>1</v>
      </c>
      <c r="DY33">
        <v>1</v>
      </c>
      <c r="EU33">
        <v>1</v>
      </c>
      <c r="EX33">
        <v>1</v>
      </c>
      <c r="FB33">
        <v>1</v>
      </c>
      <c r="GF33">
        <v>1</v>
      </c>
      <c r="GH33">
        <v>1</v>
      </c>
      <c r="GJ33">
        <v>1</v>
      </c>
      <c r="GK33">
        <v>1</v>
      </c>
      <c r="GM33">
        <v>1</v>
      </c>
      <c r="GR33">
        <v>1</v>
      </c>
      <c r="GV33">
        <f>SUMPRODUCT(Constraint_27,Decision_variables)</f>
        <v>2</v>
      </c>
      <c r="GW33" t="s">
        <v>253</v>
      </c>
      <c r="GX33">
        <v>1</v>
      </c>
    </row>
    <row r="34" spans="2:206" x14ac:dyDescent="0.25">
      <c r="B34" t="s">
        <v>231</v>
      </c>
      <c r="G34">
        <v>1</v>
      </c>
      <c r="O34">
        <v>1</v>
      </c>
      <c r="P34">
        <v>1</v>
      </c>
      <c r="BF34">
        <v>1</v>
      </c>
      <c r="BN34">
        <v>1</v>
      </c>
      <c r="BP34">
        <v>1</v>
      </c>
      <c r="CU34">
        <v>1</v>
      </c>
      <c r="DG34">
        <v>1</v>
      </c>
      <c r="DK34">
        <v>1</v>
      </c>
      <c r="DO34">
        <v>1</v>
      </c>
      <c r="DT34">
        <v>1</v>
      </c>
      <c r="DU34">
        <v>1</v>
      </c>
      <c r="EC34">
        <v>1</v>
      </c>
      <c r="EE34">
        <v>1</v>
      </c>
      <c r="EL34">
        <v>1</v>
      </c>
      <c r="EP34">
        <v>1</v>
      </c>
      <c r="EV34">
        <v>1</v>
      </c>
      <c r="FB34">
        <v>1</v>
      </c>
      <c r="FI34">
        <v>1</v>
      </c>
      <c r="FS34">
        <v>1</v>
      </c>
      <c r="GC34">
        <v>1</v>
      </c>
      <c r="GD34">
        <v>1</v>
      </c>
      <c r="GJ34">
        <v>1</v>
      </c>
      <c r="GL34" s="15"/>
      <c r="GV34">
        <f>SUMPRODUCT(Constraint_28,Decision_variables)</f>
        <v>1</v>
      </c>
      <c r="GW34" t="s">
        <v>253</v>
      </c>
      <c r="GX34">
        <v>1</v>
      </c>
    </row>
    <row r="35" spans="2:206" x14ac:dyDescent="0.25">
      <c r="B35" t="s">
        <v>232</v>
      </c>
      <c r="M35">
        <v>1</v>
      </c>
      <c r="P35">
        <v>1</v>
      </c>
      <c r="T35">
        <v>1</v>
      </c>
      <c r="AD35">
        <v>1</v>
      </c>
      <c r="AS35">
        <v>1</v>
      </c>
      <c r="BJ35">
        <v>1</v>
      </c>
      <c r="BL35">
        <v>1</v>
      </c>
      <c r="BM35">
        <v>1</v>
      </c>
      <c r="BT35">
        <v>1</v>
      </c>
      <c r="BX35">
        <v>1</v>
      </c>
      <c r="BZ35">
        <v>1</v>
      </c>
      <c r="CG35">
        <v>1</v>
      </c>
      <c r="CQ35">
        <v>1</v>
      </c>
      <c r="CR35">
        <v>1</v>
      </c>
      <c r="CY35">
        <v>1</v>
      </c>
      <c r="DP35">
        <v>1</v>
      </c>
      <c r="DT35">
        <v>1</v>
      </c>
      <c r="EA35">
        <v>1</v>
      </c>
      <c r="EC35">
        <v>1</v>
      </c>
      <c r="EG35">
        <v>1</v>
      </c>
      <c r="EJ35">
        <v>1</v>
      </c>
      <c r="EM35">
        <v>1</v>
      </c>
      <c r="EP35">
        <v>1</v>
      </c>
      <c r="EZ35">
        <v>1</v>
      </c>
      <c r="FA35">
        <v>1</v>
      </c>
      <c r="FB35">
        <v>1</v>
      </c>
      <c r="FM35">
        <v>1</v>
      </c>
      <c r="FO35">
        <v>1</v>
      </c>
      <c r="FQ35">
        <v>1</v>
      </c>
      <c r="FU35">
        <v>1</v>
      </c>
      <c r="GF35">
        <v>1</v>
      </c>
      <c r="GH35">
        <v>1</v>
      </c>
      <c r="GJ35">
        <v>1</v>
      </c>
      <c r="GV35">
        <f>SUMPRODUCT(Constraint_29,Decision_variables)</f>
        <v>4</v>
      </c>
      <c r="GW35" t="s">
        <v>253</v>
      </c>
      <c r="GX35">
        <v>1</v>
      </c>
    </row>
    <row r="36" spans="2:206" x14ac:dyDescent="0.25">
      <c r="B36" t="s">
        <v>233</v>
      </c>
      <c r="E36">
        <v>1</v>
      </c>
      <c r="L36">
        <v>1</v>
      </c>
      <c r="S36">
        <v>1</v>
      </c>
      <c r="AR36">
        <v>1</v>
      </c>
      <c r="BF36">
        <v>1</v>
      </c>
      <c r="BN36">
        <v>1</v>
      </c>
      <c r="BV36">
        <v>1</v>
      </c>
      <c r="CA36">
        <v>1</v>
      </c>
      <c r="CF36">
        <v>1</v>
      </c>
      <c r="CU36">
        <v>1</v>
      </c>
      <c r="CX36">
        <v>1</v>
      </c>
      <c r="DA36">
        <v>1</v>
      </c>
      <c r="DG36">
        <v>1</v>
      </c>
      <c r="DH36">
        <v>1</v>
      </c>
      <c r="DO36">
        <v>1</v>
      </c>
      <c r="DX36">
        <v>1</v>
      </c>
      <c r="DY36">
        <v>1</v>
      </c>
      <c r="EI36">
        <v>1</v>
      </c>
      <c r="EM36">
        <v>1</v>
      </c>
      <c r="EN36">
        <v>1</v>
      </c>
      <c r="EQ36">
        <v>1</v>
      </c>
      <c r="FC36">
        <v>1</v>
      </c>
      <c r="FK36">
        <v>1</v>
      </c>
      <c r="FN36">
        <v>1</v>
      </c>
      <c r="GC36">
        <v>1</v>
      </c>
      <c r="GF36">
        <v>1</v>
      </c>
      <c r="GL36">
        <v>1</v>
      </c>
      <c r="GQ36">
        <v>1</v>
      </c>
      <c r="GV36">
        <f>SUMPRODUCT(Constraint_30,Decision_variables)</f>
        <v>4</v>
      </c>
      <c r="GW36" t="s">
        <v>253</v>
      </c>
      <c r="GX36">
        <v>1</v>
      </c>
    </row>
    <row r="37" spans="2:206" x14ac:dyDescent="0.25">
      <c r="B37" t="s">
        <v>234</v>
      </c>
      <c r="C37">
        <v>1</v>
      </c>
      <c r="D37">
        <v>1</v>
      </c>
      <c r="K37">
        <v>1</v>
      </c>
      <c r="S37">
        <v>1</v>
      </c>
      <c r="U37">
        <v>1</v>
      </c>
      <c r="BJ37">
        <v>1</v>
      </c>
      <c r="BO37">
        <v>1</v>
      </c>
      <c r="BW37">
        <v>1</v>
      </c>
      <c r="CN37">
        <v>1</v>
      </c>
      <c r="CS37">
        <v>1</v>
      </c>
      <c r="CU37">
        <v>1</v>
      </c>
      <c r="DF37">
        <v>1</v>
      </c>
      <c r="DH37">
        <v>1</v>
      </c>
      <c r="DU37">
        <v>1</v>
      </c>
      <c r="DY37">
        <v>1</v>
      </c>
      <c r="DZ37">
        <v>1</v>
      </c>
      <c r="EC37">
        <v>1</v>
      </c>
      <c r="EE37">
        <v>1</v>
      </c>
      <c r="EH37">
        <v>1</v>
      </c>
      <c r="EL37">
        <v>1</v>
      </c>
      <c r="EO37">
        <v>1</v>
      </c>
      <c r="ES37">
        <v>1</v>
      </c>
      <c r="EZ37">
        <v>1</v>
      </c>
      <c r="FE37">
        <v>1</v>
      </c>
      <c r="FR37">
        <v>1</v>
      </c>
      <c r="GF37">
        <v>1</v>
      </c>
      <c r="GV37">
        <f>SUMPRODUCT(Constraint_31,Decision_variables)</f>
        <v>1</v>
      </c>
      <c r="GW37" t="s">
        <v>253</v>
      </c>
      <c r="GX37">
        <v>1</v>
      </c>
    </row>
    <row r="38" spans="2:206" x14ac:dyDescent="0.25">
      <c r="B38" t="s">
        <v>235</v>
      </c>
      <c r="J38">
        <v>1</v>
      </c>
      <c r="X38">
        <v>1</v>
      </c>
      <c r="AE38">
        <v>1</v>
      </c>
      <c r="AH38">
        <v>1</v>
      </c>
      <c r="AU38">
        <v>1</v>
      </c>
      <c r="AX38">
        <v>1</v>
      </c>
      <c r="BA38">
        <v>1</v>
      </c>
      <c r="BF38">
        <v>1</v>
      </c>
      <c r="BG38">
        <v>1</v>
      </c>
      <c r="BN38">
        <v>1</v>
      </c>
      <c r="CN38">
        <v>1</v>
      </c>
      <c r="DU38">
        <v>1</v>
      </c>
      <c r="EB38">
        <v>1</v>
      </c>
      <c r="EI38">
        <v>1</v>
      </c>
      <c r="EK38">
        <v>1</v>
      </c>
      <c r="EO38">
        <v>1</v>
      </c>
      <c r="FK38">
        <v>1</v>
      </c>
      <c r="GD38">
        <v>1</v>
      </c>
      <c r="GH38">
        <v>1</v>
      </c>
      <c r="GV38">
        <f>SUMPRODUCT(Constraint_32,Decision_variables)</f>
        <v>1</v>
      </c>
      <c r="GW38" t="s">
        <v>253</v>
      </c>
      <c r="GX38">
        <v>1</v>
      </c>
    </row>
    <row r="39" spans="2:206" x14ac:dyDescent="0.25">
      <c r="B39" t="s">
        <v>236</v>
      </c>
      <c r="E39">
        <v>1</v>
      </c>
      <c r="G39">
        <v>1</v>
      </c>
      <c r="X39">
        <v>1</v>
      </c>
      <c r="AB39">
        <v>1</v>
      </c>
      <c r="AF39">
        <v>1</v>
      </c>
      <c r="AY39">
        <v>1</v>
      </c>
      <c r="BL39">
        <v>1</v>
      </c>
      <c r="BM39">
        <v>1</v>
      </c>
      <c r="BO39">
        <v>1</v>
      </c>
      <c r="CP39">
        <v>1</v>
      </c>
      <c r="CT39">
        <v>1</v>
      </c>
      <c r="CX39">
        <v>1</v>
      </c>
      <c r="DB39">
        <v>1</v>
      </c>
      <c r="DK39">
        <v>1</v>
      </c>
      <c r="DX39">
        <v>1</v>
      </c>
      <c r="EC39">
        <v>1</v>
      </c>
      <c r="EP39">
        <v>1</v>
      </c>
      <c r="EX39">
        <v>1</v>
      </c>
      <c r="FK39">
        <v>1</v>
      </c>
      <c r="GB39">
        <v>1</v>
      </c>
      <c r="GH39">
        <v>1</v>
      </c>
      <c r="GV39">
        <f>SUMPRODUCT(Constraint_33,Decision_variables)</f>
        <v>2</v>
      </c>
      <c r="GW39" t="s">
        <v>253</v>
      </c>
      <c r="GX39">
        <v>1</v>
      </c>
    </row>
    <row r="40" spans="2:206" x14ac:dyDescent="0.25">
      <c r="B40" t="s">
        <v>237</v>
      </c>
      <c r="F40">
        <v>1</v>
      </c>
      <c r="K40">
        <v>1</v>
      </c>
      <c r="O40">
        <v>1</v>
      </c>
      <c r="Q40">
        <v>1</v>
      </c>
      <c r="V40">
        <v>1</v>
      </c>
      <c r="AF40">
        <v>1</v>
      </c>
      <c r="AK40">
        <v>1</v>
      </c>
      <c r="AU40">
        <v>1</v>
      </c>
      <c r="AY40">
        <v>1</v>
      </c>
      <c r="BQ40">
        <v>1</v>
      </c>
      <c r="BT40">
        <v>1</v>
      </c>
      <c r="BV40">
        <v>1</v>
      </c>
      <c r="CA40">
        <v>1</v>
      </c>
      <c r="CP40">
        <v>1</v>
      </c>
      <c r="CZ40">
        <v>1</v>
      </c>
      <c r="DD40">
        <v>1</v>
      </c>
      <c r="DQ40">
        <v>1</v>
      </c>
      <c r="DU40">
        <v>1</v>
      </c>
      <c r="EM40">
        <v>1</v>
      </c>
      <c r="ER40">
        <v>1</v>
      </c>
      <c r="ES40">
        <v>1</v>
      </c>
      <c r="FM40">
        <v>1</v>
      </c>
      <c r="FQ40">
        <v>1</v>
      </c>
      <c r="FT40">
        <v>1</v>
      </c>
      <c r="FY40">
        <v>1</v>
      </c>
      <c r="GV40">
        <f>SUMPRODUCT(Constraint_34,Decision_variables)</f>
        <v>1</v>
      </c>
      <c r="GW40" t="s">
        <v>253</v>
      </c>
      <c r="GX40">
        <v>1</v>
      </c>
    </row>
    <row r="41" spans="2:206" x14ac:dyDescent="0.25">
      <c r="B41" t="s">
        <v>238</v>
      </c>
      <c r="E41">
        <v>1</v>
      </c>
      <c r="H41">
        <v>1</v>
      </c>
      <c r="P41">
        <v>1</v>
      </c>
      <c r="U41">
        <v>1</v>
      </c>
      <c r="AF41">
        <v>1</v>
      </c>
      <c r="AK41">
        <v>1</v>
      </c>
      <c r="AN41">
        <v>1</v>
      </c>
      <c r="BB41">
        <v>1</v>
      </c>
      <c r="BC41">
        <v>1</v>
      </c>
      <c r="BM41">
        <v>1</v>
      </c>
      <c r="BN41">
        <v>1</v>
      </c>
      <c r="CT41">
        <v>1</v>
      </c>
      <c r="CU41">
        <v>1</v>
      </c>
      <c r="CX41">
        <v>1</v>
      </c>
      <c r="DE41">
        <v>1</v>
      </c>
      <c r="DJ41">
        <v>1</v>
      </c>
      <c r="DN41">
        <v>1</v>
      </c>
      <c r="EA41">
        <v>1</v>
      </c>
      <c r="EF41">
        <v>1</v>
      </c>
      <c r="EJ41">
        <v>1</v>
      </c>
      <c r="EM41">
        <v>1</v>
      </c>
      <c r="FL41">
        <v>1</v>
      </c>
      <c r="GN41">
        <v>1</v>
      </c>
      <c r="GQ41">
        <v>1</v>
      </c>
      <c r="GR41">
        <v>1</v>
      </c>
      <c r="GV41">
        <f>SUMPRODUCT(Constraint_35,Decision_variables)</f>
        <v>3</v>
      </c>
      <c r="GW41" t="s">
        <v>253</v>
      </c>
      <c r="GX41">
        <v>1</v>
      </c>
    </row>
    <row r="42" spans="2:206" x14ac:dyDescent="0.25">
      <c r="B42" t="s">
        <v>239</v>
      </c>
      <c r="D42">
        <v>1</v>
      </c>
      <c r="K42">
        <v>1</v>
      </c>
      <c r="Z42">
        <v>1</v>
      </c>
      <c r="AB42">
        <v>1</v>
      </c>
      <c r="AD42">
        <v>1</v>
      </c>
      <c r="AX42">
        <v>1</v>
      </c>
      <c r="BC42">
        <v>1</v>
      </c>
      <c r="BJ42">
        <v>1</v>
      </c>
      <c r="BU42">
        <v>1</v>
      </c>
      <c r="BY42">
        <v>1</v>
      </c>
      <c r="CF42">
        <v>1</v>
      </c>
      <c r="CJ42">
        <v>1</v>
      </c>
      <c r="CM42">
        <v>1</v>
      </c>
      <c r="CR42">
        <v>1</v>
      </c>
      <c r="DI42">
        <v>1</v>
      </c>
      <c r="DL42">
        <v>1</v>
      </c>
      <c r="DS42">
        <v>1</v>
      </c>
      <c r="DV42">
        <v>1</v>
      </c>
      <c r="DX42">
        <v>1</v>
      </c>
      <c r="EX42">
        <v>1</v>
      </c>
      <c r="FD42">
        <v>1</v>
      </c>
      <c r="FE42">
        <v>1</v>
      </c>
      <c r="FW42">
        <v>1</v>
      </c>
      <c r="GP42">
        <v>1</v>
      </c>
      <c r="GR42">
        <v>1</v>
      </c>
      <c r="GT42">
        <v>1</v>
      </c>
      <c r="GV42">
        <f>SUMPRODUCT(Constraint_36,Decision_variables)</f>
        <v>1</v>
      </c>
      <c r="GW42" t="s">
        <v>253</v>
      </c>
      <c r="GX42">
        <v>1</v>
      </c>
    </row>
    <row r="43" spans="2:206" x14ac:dyDescent="0.25">
      <c r="B43" t="s">
        <v>240</v>
      </c>
      <c r="H43">
        <v>1</v>
      </c>
      <c r="V43">
        <v>1</v>
      </c>
      <c r="W43">
        <v>1</v>
      </c>
      <c r="Z43">
        <v>1</v>
      </c>
      <c r="AB43">
        <v>1</v>
      </c>
      <c r="AL43">
        <v>1</v>
      </c>
      <c r="AV43">
        <v>1</v>
      </c>
      <c r="BE43">
        <v>1</v>
      </c>
      <c r="BY43">
        <v>1</v>
      </c>
      <c r="CI43">
        <v>1</v>
      </c>
      <c r="CK43">
        <v>1</v>
      </c>
      <c r="CQ43">
        <v>1</v>
      </c>
      <c r="DB43">
        <v>1</v>
      </c>
      <c r="DY43">
        <v>1</v>
      </c>
      <c r="EL43">
        <v>1</v>
      </c>
      <c r="EZ43">
        <v>1</v>
      </c>
      <c r="FB43">
        <v>1</v>
      </c>
      <c r="FI43">
        <v>1</v>
      </c>
      <c r="FR43">
        <v>1</v>
      </c>
      <c r="FX43">
        <v>1</v>
      </c>
      <c r="GA43">
        <v>1</v>
      </c>
      <c r="GD43">
        <v>1</v>
      </c>
      <c r="GN43">
        <v>1</v>
      </c>
      <c r="GV43">
        <f>SUMPRODUCT(Constraint_37,Decision_variables)</f>
        <v>1</v>
      </c>
      <c r="GW43" t="s">
        <v>253</v>
      </c>
      <c r="GX43">
        <v>1</v>
      </c>
    </row>
    <row r="44" spans="2:206" x14ac:dyDescent="0.25">
      <c r="B44" t="s">
        <v>241</v>
      </c>
      <c r="C44">
        <v>1</v>
      </c>
      <c r="E44">
        <v>1</v>
      </c>
      <c r="X44">
        <v>1</v>
      </c>
      <c r="AH44">
        <v>1</v>
      </c>
      <c r="AW44">
        <v>1</v>
      </c>
      <c r="AX44">
        <v>1</v>
      </c>
      <c r="BE44">
        <v>1</v>
      </c>
      <c r="BM44">
        <v>1</v>
      </c>
      <c r="CH44">
        <v>1</v>
      </c>
      <c r="CS44">
        <v>1</v>
      </c>
      <c r="DB44">
        <v>1</v>
      </c>
      <c r="DJ44">
        <v>1</v>
      </c>
      <c r="DO44">
        <v>1</v>
      </c>
      <c r="DS44">
        <v>1</v>
      </c>
      <c r="DU44">
        <v>1</v>
      </c>
      <c r="DV44">
        <v>1</v>
      </c>
      <c r="EE44">
        <v>1</v>
      </c>
      <c r="FE44">
        <v>1</v>
      </c>
      <c r="FF44">
        <v>1</v>
      </c>
      <c r="FX44">
        <v>1</v>
      </c>
      <c r="GG44">
        <v>1</v>
      </c>
      <c r="GH44">
        <v>1</v>
      </c>
      <c r="GP44">
        <v>1</v>
      </c>
      <c r="GS44">
        <v>1</v>
      </c>
      <c r="GV44">
        <f>SUMPRODUCT(Constraint_38,Decision_variables)</f>
        <v>1</v>
      </c>
      <c r="GW44" t="s">
        <v>253</v>
      </c>
      <c r="GX44">
        <v>1</v>
      </c>
    </row>
    <row r="45" spans="2:206" x14ac:dyDescent="0.25">
      <c r="B45" t="s">
        <v>242</v>
      </c>
      <c r="AA45">
        <v>1</v>
      </c>
      <c r="AD45">
        <v>1</v>
      </c>
      <c r="AF45">
        <v>1</v>
      </c>
      <c r="AO45">
        <v>1</v>
      </c>
      <c r="BC45">
        <v>1</v>
      </c>
      <c r="BG45">
        <v>1</v>
      </c>
      <c r="BJ45">
        <v>1</v>
      </c>
      <c r="BN45">
        <v>1</v>
      </c>
      <c r="BX45">
        <v>1</v>
      </c>
      <c r="CE45">
        <v>1</v>
      </c>
      <c r="CP45">
        <v>1</v>
      </c>
      <c r="CR45">
        <v>1</v>
      </c>
      <c r="DL45">
        <v>1</v>
      </c>
      <c r="EC45">
        <v>1</v>
      </c>
      <c r="EQ45">
        <v>1</v>
      </c>
      <c r="ES45">
        <v>1</v>
      </c>
      <c r="EY45">
        <v>1</v>
      </c>
      <c r="EZ45">
        <v>1</v>
      </c>
      <c r="FG45">
        <v>1</v>
      </c>
      <c r="FN45">
        <v>1</v>
      </c>
      <c r="FO45">
        <v>1</v>
      </c>
      <c r="GD45">
        <v>1</v>
      </c>
      <c r="GG45">
        <v>1</v>
      </c>
      <c r="GR45">
        <v>1</v>
      </c>
      <c r="GV45">
        <f>SUMPRODUCT(Constraint_39,Decision_variables)</f>
        <v>1</v>
      </c>
      <c r="GW45" t="s">
        <v>253</v>
      </c>
      <c r="GX45">
        <v>1</v>
      </c>
    </row>
    <row r="46" spans="2:206" x14ac:dyDescent="0.25">
      <c r="B46" t="s">
        <v>243</v>
      </c>
      <c r="I46">
        <v>1</v>
      </c>
      <c r="AH46">
        <v>1</v>
      </c>
      <c r="AI46">
        <v>1</v>
      </c>
      <c r="AJ46">
        <v>1</v>
      </c>
      <c r="BG46">
        <v>1</v>
      </c>
      <c r="BJ46">
        <v>1</v>
      </c>
      <c r="BO46">
        <v>1</v>
      </c>
      <c r="CK46">
        <v>1</v>
      </c>
      <c r="CO46">
        <v>1</v>
      </c>
      <c r="DF46">
        <v>1</v>
      </c>
      <c r="DL46">
        <v>1</v>
      </c>
      <c r="DY46">
        <v>1</v>
      </c>
      <c r="EC46">
        <v>1</v>
      </c>
      <c r="EE46">
        <v>1</v>
      </c>
      <c r="ES46">
        <v>1</v>
      </c>
      <c r="ET46">
        <v>1</v>
      </c>
      <c r="FB46">
        <v>1</v>
      </c>
      <c r="FF46">
        <v>1</v>
      </c>
      <c r="FH46">
        <v>1</v>
      </c>
      <c r="FN46">
        <v>1</v>
      </c>
      <c r="FO46">
        <v>1</v>
      </c>
      <c r="GV46">
        <f>SUMPRODUCT(Constraint_40,Decision_variables)</f>
        <v>1</v>
      </c>
      <c r="GW46" t="s">
        <v>253</v>
      </c>
      <c r="GX46">
        <v>1</v>
      </c>
    </row>
    <row r="47" spans="2:206" x14ac:dyDescent="0.25">
      <c r="B47" t="s">
        <v>244</v>
      </c>
      <c r="M47">
        <v>1</v>
      </c>
      <c r="Q47">
        <v>1</v>
      </c>
      <c r="AC47">
        <v>1</v>
      </c>
      <c r="AF47">
        <v>1</v>
      </c>
      <c r="AU47">
        <v>1</v>
      </c>
      <c r="BE47">
        <v>1</v>
      </c>
      <c r="BK47">
        <v>1</v>
      </c>
      <c r="BY47">
        <v>1</v>
      </c>
      <c r="CC47">
        <v>1</v>
      </c>
      <c r="CN47">
        <v>1</v>
      </c>
      <c r="CP47">
        <v>1</v>
      </c>
      <c r="CU47">
        <v>1</v>
      </c>
      <c r="DQ47">
        <v>1</v>
      </c>
      <c r="DX47">
        <v>1</v>
      </c>
      <c r="EH47">
        <v>1</v>
      </c>
      <c r="EQ47">
        <v>1</v>
      </c>
      <c r="FH47">
        <v>1</v>
      </c>
      <c r="FO47">
        <v>1</v>
      </c>
      <c r="FR47">
        <v>1</v>
      </c>
      <c r="FT47">
        <v>1</v>
      </c>
      <c r="FU47">
        <v>1</v>
      </c>
      <c r="GF47">
        <v>1</v>
      </c>
      <c r="GI47">
        <v>1</v>
      </c>
      <c r="GV47">
        <f>SUMPRODUCT(Constraint_41,Decision_variables)</f>
        <v>1</v>
      </c>
      <c r="GW47" t="s">
        <v>253</v>
      </c>
      <c r="GX47">
        <v>1</v>
      </c>
    </row>
    <row r="48" spans="2:206" x14ac:dyDescent="0.25">
      <c r="B48" t="s">
        <v>245</v>
      </c>
      <c r="E48">
        <v>1</v>
      </c>
      <c r="F48">
        <v>1</v>
      </c>
      <c r="K48">
        <v>1</v>
      </c>
      <c r="L48">
        <v>1</v>
      </c>
      <c r="U48">
        <v>1</v>
      </c>
      <c r="AB48">
        <v>1</v>
      </c>
      <c r="AC48">
        <v>1</v>
      </c>
      <c r="AF48">
        <v>1</v>
      </c>
      <c r="AG48">
        <v>1</v>
      </c>
      <c r="AP48">
        <v>1</v>
      </c>
      <c r="AZ48">
        <v>1</v>
      </c>
      <c r="BA48">
        <v>1</v>
      </c>
      <c r="BF48">
        <v>1</v>
      </c>
      <c r="BG48">
        <v>1</v>
      </c>
      <c r="BM48">
        <v>1</v>
      </c>
      <c r="BX48">
        <v>1</v>
      </c>
      <c r="BY48">
        <v>1</v>
      </c>
      <c r="CF48">
        <v>1</v>
      </c>
      <c r="CN48">
        <v>1</v>
      </c>
      <c r="CR48">
        <v>1</v>
      </c>
      <c r="CW48">
        <v>1</v>
      </c>
      <c r="DM48">
        <v>1</v>
      </c>
      <c r="DZ48">
        <v>1</v>
      </c>
      <c r="EA48">
        <v>1</v>
      </c>
      <c r="EB48">
        <v>1</v>
      </c>
      <c r="EL48">
        <v>1</v>
      </c>
      <c r="EN48">
        <v>1</v>
      </c>
      <c r="FA48">
        <v>1</v>
      </c>
      <c r="FD48">
        <v>1</v>
      </c>
      <c r="FU48">
        <v>1</v>
      </c>
      <c r="GE48">
        <v>1</v>
      </c>
      <c r="GK48">
        <v>1</v>
      </c>
      <c r="GO48">
        <v>1</v>
      </c>
      <c r="GQ48">
        <v>1</v>
      </c>
      <c r="GS48">
        <v>1</v>
      </c>
      <c r="GT48">
        <v>1</v>
      </c>
      <c r="GV48">
        <f>SUMPRODUCT(Constraint_42,Decision_variables)</f>
        <v>3</v>
      </c>
      <c r="GW48" t="s">
        <v>253</v>
      </c>
      <c r="GX48">
        <v>1</v>
      </c>
    </row>
    <row r="49" spans="1:206" x14ac:dyDescent="0.25">
      <c r="B49" t="s">
        <v>246</v>
      </c>
      <c r="M49">
        <v>1</v>
      </c>
      <c r="Y49">
        <v>1</v>
      </c>
      <c r="AU49">
        <v>1</v>
      </c>
      <c r="BC49">
        <v>1</v>
      </c>
      <c r="BF49">
        <v>1</v>
      </c>
      <c r="BH49">
        <v>1</v>
      </c>
      <c r="BV49">
        <v>1</v>
      </c>
      <c r="BX49">
        <v>1</v>
      </c>
      <c r="CJ49">
        <v>1</v>
      </c>
      <c r="CL49">
        <v>1</v>
      </c>
      <c r="DP49">
        <v>1</v>
      </c>
      <c r="DW49">
        <v>1</v>
      </c>
      <c r="ER49">
        <v>1</v>
      </c>
      <c r="ET49">
        <v>1</v>
      </c>
      <c r="EX49">
        <v>1</v>
      </c>
      <c r="EZ49">
        <v>1</v>
      </c>
      <c r="FE49">
        <v>1</v>
      </c>
      <c r="FG49">
        <v>1</v>
      </c>
      <c r="FL49">
        <v>1</v>
      </c>
      <c r="FM49">
        <v>1</v>
      </c>
      <c r="FN49">
        <v>1</v>
      </c>
      <c r="FT49">
        <v>1</v>
      </c>
      <c r="GL49">
        <v>1</v>
      </c>
      <c r="GV49">
        <f>SUMPRODUCT(Constraint_43,Decision_variables)</f>
        <v>1</v>
      </c>
      <c r="GW49" t="s">
        <v>253</v>
      </c>
      <c r="GX49">
        <v>1</v>
      </c>
    </row>
    <row r="50" spans="1:206" x14ac:dyDescent="0.25">
      <c r="B50" t="s">
        <v>247</v>
      </c>
      <c r="F50">
        <v>1</v>
      </c>
      <c r="M50">
        <v>1</v>
      </c>
      <c r="U50">
        <v>1</v>
      </c>
      <c r="AQ50">
        <v>1</v>
      </c>
      <c r="BB50">
        <v>1</v>
      </c>
      <c r="BK50">
        <v>1</v>
      </c>
      <c r="BL50">
        <v>1</v>
      </c>
      <c r="BN50">
        <v>1</v>
      </c>
      <c r="BR50">
        <v>1</v>
      </c>
      <c r="CG50">
        <v>1</v>
      </c>
      <c r="CK50">
        <v>1</v>
      </c>
      <c r="CL50">
        <v>1</v>
      </c>
      <c r="CU50">
        <v>1</v>
      </c>
      <c r="CW50">
        <v>1</v>
      </c>
      <c r="CY50">
        <v>1</v>
      </c>
      <c r="DF50">
        <v>1</v>
      </c>
      <c r="DO50">
        <v>1</v>
      </c>
      <c r="DP50">
        <v>1</v>
      </c>
      <c r="DT50">
        <v>1</v>
      </c>
      <c r="EE50">
        <v>1</v>
      </c>
      <c r="EN50">
        <v>1</v>
      </c>
      <c r="EV50">
        <v>1</v>
      </c>
      <c r="FD50">
        <v>1</v>
      </c>
      <c r="FS50">
        <v>1</v>
      </c>
      <c r="FX50">
        <v>1</v>
      </c>
      <c r="GI50">
        <v>1</v>
      </c>
      <c r="GJ50">
        <v>1</v>
      </c>
      <c r="GS50">
        <v>1</v>
      </c>
      <c r="GV50">
        <f>SUMPRODUCT(Constraint_44,Decision_variables)</f>
        <v>2</v>
      </c>
      <c r="GW50" t="s">
        <v>253</v>
      </c>
      <c r="GX50">
        <v>1</v>
      </c>
    </row>
    <row r="51" spans="1:206" x14ac:dyDescent="0.25">
      <c r="B51" t="s">
        <v>248</v>
      </c>
      <c r="I51">
        <v>1</v>
      </c>
      <c r="L51">
        <v>1</v>
      </c>
      <c r="U51">
        <v>1</v>
      </c>
      <c r="AF51">
        <v>1</v>
      </c>
      <c r="AH51">
        <v>1</v>
      </c>
      <c r="AK51">
        <v>1</v>
      </c>
      <c r="AY51">
        <v>1</v>
      </c>
      <c r="BP51">
        <v>1</v>
      </c>
      <c r="BS51">
        <v>1</v>
      </c>
      <c r="BZ51">
        <v>1</v>
      </c>
      <c r="CH51">
        <v>1</v>
      </c>
      <c r="CJ51">
        <v>1</v>
      </c>
      <c r="CP51">
        <v>1</v>
      </c>
      <c r="CQ51">
        <v>1</v>
      </c>
      <c r="DD51">
        <v>1</v>
      </c>
      <c r="DO51">
        <v>1</v>
      </c>
      <c r="EI51">
        <v>1</v>
      </c>
      <c r="ES51">
        <v>1</v>
      </c>
      <c r="GH51">
        <v>1</v>
      </c>
      <c r="GN51">
        <v>1</v>
      </c>
      <c r="GR51">
        <v>1</v>
      </c>
      <c r="GS51">
        <v>1</v>
      </c>
      <c r="GV51">
        <f>SUMPRODUCT(Constraint_45,Decision_variables)</f>
        <v>1</v>
      </c>
      <c r="GW51" t="s">
        <v>253</v>
      </c>
      <c r="GX51">
        <v>1</v>
      </c>
    </row>
    <row r="52" spans="1:206" x14ac:dyDescent="0.25">
      <c r="B52" t="s">
        <v>249</v>
      </c>
      <c r="D52">
        <v>1</v>
      </c>
      <c r="F52">
        <v>1</v>
      </c>
      <c r="H52">
        <v>1</v>
      </c>
      <c r="M52">
        <v>1</v>
      </c>
      <c r="N52">
        <v>1</v>
      </c>
      <c r="U52">
        <v>1</v>
      </c>
      <c r="AM52">
        <v>1</v>
      </c>
      <c r="BA52">
        <v>1</v>
      </c>
      <c r="BN52">
        <v>1</v>
      </c>
      <c r="BT52">
        <v>1</v>
      </c>
      <c r="CQ52">
        <v>1</v>
      </c>
      <c r="DB52">
        <v>1</v>
      </c>
      <c r="DT52">
        <v>1</v>
      </c>
      <c r="EK52">
        <v>1</v>
      </c>
      <c r="FG52">
        <v>1</v>
      </c>
      <c r="FL52">
        <v>1</v>
      </c>
      <c r="FO52">
        <v>1</v>
      </c>
      <c r="FQ52">
        <v>1</v>
      </c>
      <c r="FR52">
        <v>1</v>
      </c>
      <c r="GE52">
        <v>1</v>
      </c>
      <c r="GH52">
        <v>1</v>
      </c>
      <c r="GJ52">
        <v>1</v>
      </c>
      <c r="GP52">
        <v>1</v>
      </c>
      <c r="GV52">
        <f>SUMPRODUCT(Constraint_46,Decision_variables)</f>
        <v>1</v>
      </c>
      <c r="GW52" t="s">
        <v>253</v>
      </c>
      <c r="GX52">
        <v>1</v>
      </c>
    </row>
    <row r="53" spans="1:206" x14ac:dyDescent="0.25">
      <c r="B53" t="s">
        <v>250</v>
      </c>
      <c r="O53">
        <v>1</v>
      </c>
      <c r="T53">
        <v>1</v>
      </c>
      <c r="AD53">
        <v>1</v>
      </c>
      <c r="AJ53">
        <v>1</v>
      </c>
      <c r="AO53">
        <v>1</v>
      </c>
      <c r="AP53">
        <v>1</v>
      </c>
      <c r="AV53">
        <v>1</v>
      </c>
      <c r="BA53">
        <v>1</v>
      </c>
      <c r="BC53">
        <v>1</v>
      </c>
      <c r="BM53">
        <v>1</v>
      </c>
      <c r="CH53">
        <v>1</v>
      </c>
      <c r="CZ53">
        <v>1</v>
      </c>
      <c r="DA53">
        <v>1</v>
      </c>
      <c r="DH53">
        <v>1</v>
      </c>
      <c r="DL53">
        <v>1</v>
      </c>
      <c r="DS53">
        <v>1</v>
      </c>
      <c r="DV53">
        <v>1</v>
      </c>
      <c r="EK53">
        <v>1</v>
      </c>
      <c r="ET53">
        <v>1</v>
      </c>
      <c r="FJ53">
        <v>1</v>
      </c>
      <c r="FR53">
        <v>1</v>
      </c>
      <c r="FS53">
        <v>1</v>
      </c>
      <c r="GB53">
        <v>1</v>
      </c>
      <c r="GV53">
        <f>SUMPRODUCT(Constraint_47,Decision_variables)</f>
        <v>1</v>
      </c>
      <c r="GW53" t="s">
        <v>253</v>
      </c>
      <c r="GX53">
        <v>1</v>
      </c>
    </row>
    <row r="54" spans="1:206" x14ac:dyDescent="0.25">
      <c r="B54" t="s">
        <v>251</v>
      </c>
      <c r="E54">
        <v>1</v>
      </c>
      <c r="H54">
        <v>1</v>
      </c>
      <c r="R54">
        <v>1</v>
      </c>
      <c r="V54">
        <v>1</v>
      </c>
      <c r="AD54">
        <v>1</v>
      </c>
      <c r="AG54">
        <v>1</v>
      </c>
      <c r="BO54">
        <v>1</v>
      </c>
      <c r="BU54">
        <v>1</v>
      </c>
      <c r="CA54">
        <v>1</v>
      </c>
      <c r="CR54">
        <v>1</v>
      </c>
      <c r="CX54">
        <v>1</v>
      </c>
      <c r="CZ54">
        <v>1</v>
      </c>
      <c r="DW54">
        <v>1</v>
      </c>
      <c r="EI54">
        <v>1</v>
      </c>
      <c r="EU54">
        <v>1</v>
      </c>
      <c r="FC54">
        <v>1</v>
      </c>
      <c r="FD54">
        <v>1</v>
      </c>
      <c r="FF54">
        <v>1</v>
      </c>
      <c r="FG54">
        <v>1</v>
      </c>
      <c r="FM54">
        <v>1</v>
      </c>
      <c r="FW54">
        <v>1</v>
      </c>
      <c r="GN54">
        <v>1</v>
      </c>
      <c r="GV54">
        <f>SUMPRODUCT(Constraint_48,Decision_variables)</f>
        <v>1</v>
      </c>
      <c r="GW54" t="s">
        <v>253</v>
      </c>
      <c r="GX54">
        <v>1</v>
      </c>
    </row>
    <row r="55" spans="1:206" x14ac:dyDescent="0.25">
      <c r="B55" t="s">
        <v>252</v>
      </c>
      <c r="E55">
        <v>1</v>
      </c>
      <c r="G55">
        <v>1</v>
      </c>
      <c r="X55">
        <v>1</v>
      </c>
      <c r="AB55">
        <v>1</v>
      </c>
      <c r="AK55">
        <v>1</v>
      </c>
      <c r="AN55">
        <v>1</v>
      </c>
      <c r="AT55">
        <v>1</v>
      </c>
      <c r="BA55">
        <v>1</v>
      </c>
      <c r="BF55">
        <v>1</v>
      </c>
      <c r="BY55">
        <v>1</v>
      </c>
      <c r="CC55">
        <v>1</v>
      </c>
      <c r="CG55">
        <v>1</v>
      </c>
      <c r="CL55">
        <v>1</v>
      </c>
      <c r="CU55">
        <v>1</v>
      </c>
      <c r="DG55">
        <v>1</v>
      </c>
      <c r="DK55">
        <v>1</v>
      </c>
      <c r="DZ55">
        <v>1</v>
      </c>
      <c r="EL55">
        <v>1</v>
      </c>
      <c r="EP55">
        <v>1</v>
      </c>
      <c r="FA55">
        <v>1</v>
      </c>
      <c r="FF55">
        <v>1</v>
      </c>
      <c r="FX55">
        <v>1</v>
      </c>
      <c r="GC55">
        <v>1</v>
      </c>
      <c r="GD55">
        <v>1</v>
      </c>
      <c r="GG55">
        <v>1</v>
      </c>
      <c r="GS55">
        <v>1</v>
      </c>
      <c r="GV55">
        <f>SUMPRODUCT(Constraint_49,Decision_variables)</f>
        <v>1</v>
      </c>
      <c r="GW55" t="s">
        <v>253</v>
      </c>
      <c r="GX55">
        <v>1</v>
      </c>
    </row>
    <row r="57" spans="1:206" x14ac:dyDescent="0.25">
      <c r="A57" s="2" t="s">
        <v>257</v>
      </c>
      <c r="B57" t="s">
        <v>253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</row>
    <row r="58" spans="1:206" x14ac:dyDescent="0.25">
      <c r="B58" t="s">
        <v>258</v>
      </c>
      <c r="C58" s="1">
        <v>9.9999999999999999E+306</v>
      </c>
      <c r="D58" s="1">
        <v>9.9999999999999999E+306</v>
      </c>
      <c r="E58" s="1">
        <v>9.9999999999999999E+306</v>
      </c>
      <c r="F58" s="1">
        <v>9.9999999999999999E+306</v>
      </c>
      <c r="G58" s="1">
        <v>9.9999999999999999E+306</v>
      </c>
      <c r="H58" s="1">
        <v>9.9999999999999999E+306</v>
      </c>
      <c r="I58" s="1">
        <v>9.9999999999999999E+306</v>
      </c>
      <c r="J58" s="1">
        <v>9.9999999999999999E+306</v>
      </c>
      <c r="K58" s="1">
        <v>9.9999999999999999E+306</v>
      </c>
      <c r="L58" s="1">
        <v>9.9999999999999999E+306</v>
      </c>
      <c r="M58" s="1">
        <v>9.9999999999999999E+306</v>
      </c>
      <c r="N58" s="1">
        <v>9.9999999999999999E+306</v>
      </c>
      <c r="O58" s="1">
        <v>9.9999999999999999E+306</v>
      </c>
      <c r="P58" s="1">
        <v>9.9999999999999999E+306</v>
      </c>
      <c r="Q58" s="1">
        <v>9.9999999999999999E+306</v>
      </c>
      <c r="R58" s="1">
        <v>9.9999999999999999E+306</v>
      </c>
      <c r="S58" s="1">
        <v>9.9999999999999999E+306</v>
      </c>
      <c r="T58" s="1">
        <v>9.9999999999999999E+306</v>
      </c>
      <c r="U58" s="1">
        <v>9.9999999999999999E+306</v>
      </c>
      <c r="V58" s="1">
        <v>9.9999999999999999E+306</v>
      </c>
      <c r="W58" s="1">
        <v>9.9999999999999999E+306</v>
      </c>
      <c r="X58" s="1">
        <v>9.9999999999999999E+306</v>
      </c>
      <c r="Y58" s="1">
        <v>9.9999999999999999E+306</v>
      </c>
      <c r="Z58" s="1">
        <v>9.9999999999999999E+306</v>
      </c>
      <c r="AA58" s="1">
        <v>9.9999999999999999E+306</v>
      </c>
      <c r="AB58" s="1">
        <v>9.9999999999999999E+306</v>
      </c>
      <c r="AC58" s="1">
        <v>9.9999999999999999E+306</v>
      </c>
      <c r="AD58" s="1">
        <v>9.9999999999999999E+306</v>
      </c>
      <c r="AE58" s="1">
        <v>9.9999999999999999E+306</v>
      </c>
      <c r="AF58" s="1">
        <v>9.9999999999999999E+306</v>
      </c>
      <c r="AG58" s="1">
        <v>9.9999999999999999E+306</v>
      </c>
      <c r="AH58" s="1">
        <v>9.9999999999999999E+306</v>
      </c>
      <c r="AI58" s="1">
        <v>9.9999999999999999E+306</v>
      </c>
      <c r="AJ58" s="1">
        <v>9.9999999999999999E+306</v>
      </c>
      <c r="AK58" s="1">
        <v>9.9999999999999999E+306</v>
      </c>
      <c r="AL58" s="1">
        <v>9.9999999999999999E+306</v>
      </c>
      <c r="AM58" s="1">
        <v>9.9999999999999999E+306</v>
      </c>
      <c r="AN58" s="1">
        <v>9.9999999999999999E+306</v>
      </c>
      <c r="AO58" s="1">
        <v>9.9999999999999999E+306</v>
      </c>
      <c r="AP58" s="1">
        <v>9.9999999999999999E+306</v>
      </c>
      <c r="AQ58" s="1">
        <v>9.9999999999999999E+306</v>
      </c>
      <c r="AR58" s="1">
        <v>9.9999999999999999E+306</v>
      </c>
      <c r="AS58" s="1">
        <v>9.9999999999999999E+306</v>
      </c>
      <c r="AT58" s="1">
        <v>9.9999999999999999E+306</v>
      </c>
      <c r="AU58" s="1">
        <v>9.9999999999999999E+306</v>
      </c>
      <c r="AV58" s="1">
        <v>9.9999999999999999E+306</v>
      </c>
      <c r="AW58" s="1">
        <v>9.9999999999999999E+306</v>
      </c>
      <c r="AX58" s="1">
        <v>9.9999999999999999E+306</v>
      </c>
      <c r="AY58" s="1">
        <v>9.9999999999999999E+306</v>
      </c>
      <c r="AZ58" s="1">
        <v>9.9999999999999999E+306</v>
      </c>
      <c r="BA58" s="1">
        <v>9.9999999999999999E+306</v>
      </c>
      <c r="BB58" s="1">
        <v>9.9999999999999999E+306</v>
      </c>
      <c r="BC58" s="1">
        <v>9.9999999999999999E+306</v>
      </c>
      <c r="BD58" s="1">
        <v>9.9999999999999999E+306</v>
      </c>
      <c r="BE58" s="1">
        <v>9.9999999999999999E+306</v>
      </c>
      <c r="BF58" s="1">
        <v>9.9999999999999999E+306</v>
      </c>
      <c r="BG58" s="1">
        <v>9.9999999999999999E+306</v>
      </c>
      <c r="BH58" s="1">
        <v>9.9999999999999999E+306</v>
      </c>
      <c r="BI58" s="1">
        <v>9.9999999999999999E+306</v>
      </c>
      <c r="BJ58" s="1">
        <v>9.9999999999999999E+306</v>
      </c>
      <c r="BK58" s="1">
        <v>9.9999999999999999E+306</v>
      </c>
      <c r="BL58" s="1">
        <v>9.9999999999999999E+306</v>
      </c>
      <c r="BM58" s="1">
        <v>9.9999999999999999E+306</v>
      </c>
      <c r="BN58" s="1">
        <v>9.9999999999999999E+306</v>
      </c>
      <c r="BO58" s="1">
        <v>9.9999999999999999E+306</v>
      </c>
      <c r="BP58" s="1">
        <v>9.9999999999999999E+306</v>
      </c>
      <c r="BQ58" s="1">
        <v>9.9999999999999999E+306</v>
      </c>
      <c r="BR58" s="1">
        <v>9.9999999999999999E+306</v>
      </c>
      <c r="BS58" s="1">
        <v>9.9999999999999999E+306</v>
      </c>
      <c r="BT58" s="1">
        <v>9.9999999999999999E+306</v>
      </c>
      <c r="BU58" s="1">
        <v>9.9999999999999999E+306</v>
      </c>
      <c r="BV58" s="1">
        <v>9.9999999999999999E+306</v>
      </c>
      <c r="BW58" s="1">
        <v>9.9999999999999999E+306</v>
      </c>
      <c r="BX58" s="1">
        <v>9.9999999999999999E+306</v>
      </c>
      <c r="BY58" s="1">
        <v>9.9999999999999999E+306</v>
      </c>
      <c r="BZ58" s="1">
        <v>9.9999999999999999E+306</v>
      </c>
      <c r="CA58" s="1">
        <v>9.9999999999999999E+306</v>
      </c>
      <c r="CB58" s="1">
        <v>9.9999999999999999E+306</v>
      </c>
      <c r="CC58" s="1">
        <v>9.9999999999999999E+306</v>
      </c>
      <c r="CD58" s="1">
        <v>9.9999999999999999E+306</v>
      </c>
      <c r="CE58" s="1">
        <v>9.9999999999999999E+306</v>
      </c>
      <c r="CF58" s="1">
        <v>9.9999999999999999E+306</v>
      </c>
      <c r="CG58" s="1">
        <v>9.9999999999999999E+306</v>
      </c>
      <c r="CH58" s="1">
        <v>9.9999999999999999E+306</v>
      </c>
      <c r="CI58" s="1">
        <v>9.9999999999999999E+306</v>
      </c>
      <c r="CJ58" s="1">
        <v>9.9999999999999999E+306</v>
      </c>
      <c r="CK58" s="1">
        <v>9.9999999999999999E+306</v>
      </c>
      <c r="CL58" s="1">
        <v>9.9999999999999999E+306</v>
      </c>
      <c r="CM58" s="1">
        <v>9.9999999999999999E+306</v>
      </c>
      <c r="CN58" s="1">
        <v>9.9999999999999999E+306</v>
      </c>
      <c r="CO58" s="1">
        <v>9.9999999999999999E+306</v>
      </c>
      <c r="CP58" s="1">
        <v>9.9999999999999999E+306</v>
      </c>
      <c r="CQ58" s="1">
        <v>9.9999999999999999E+306</v>
      </c>
      <c r="CR58" s="1">
        <v>9.9999999999999999E+306</v>
      </c>
      <c r="CS58" s="1">
        <v>9.9999999999999999E+306</v>
      </c>
      <c r="CT58" s="1">
        <v>9.9999999999999999E+306</v>
      </c>
      <c r="CU58" s="1">
        <v>9.9999999999999999E+306</v>
      </c>
      <c r="CV58" s="1">
        <v>9.9999999999999999E+306</v>
      </c>
      <c r="CW58" s="1">
        <v>9.9999999999999999E+306</v>
      </c>
      <c r="CX58" s="1">
        <v>9.9999999999999999E+306</v>
      </c>
      <c r="CY58" s="1">
        <v>9.9999999999999999E+306</v>
      </c>
      <c r="CZ58" s="1">
        <v>9.9999999999999999E+306</v>
      </c>
      <c r="DA58" s="1">
        <v>9.9999999999999999E+306</v>
      </c>
      <c r="DB58" s="1">
        <v>9.9999999999999999E+306</v>
      </c>
      <c r="DC58" s="1">
        <v>9.9999999999999999E+306</v>
      </c>
      <c r="DD58" s="1">
        <v>9.9999999999999999E+306</v>
      </c>
      <c r="DE58" s="1">
        <v>9.9999999999999999E+306</v>
      </c>
      <c r="DF58" s="1">
        <v>9.9999999999999999E+306</v>
      </c>
      <c r="DG58" s="1">
        <v>9.9999999999999999E+306</v>
      </c>
      <c r="DH58" s="1">
        <v>9.9999999999999999E+306</v>
      </c>
      <c r="DI58" s="1">
        <v>9.9999999999999999E+306</v>
      </c>
      <c r="DJ58" s="1">
        <v>9.9999999999999999E+306</v>
      </c>
      <c r="DK58" s="1">
        <v>9.9999999999999999E+306</v>
      </c>
      <c r="DL58" s="1">
        <v>9.9999999999999999E+306</v>
      </c>
      <c r="DM58" s="1">
        <v>9.9999999999999999E+306</v>
      </c>
      <c r="DN58" s="1">
        <v>9.9999999999999999E+306</v>
      </c>
      <c r="DO58" s="1">
        <v>9.9999999999999999E+306</v>
      </c>
      <c r="DP58" s="1">
        <v>9.9999999999999999E+306</v>
      </c>
      <c r="DQ58" s="1">
        <v>9.9999999999999999E+306</v>
      </c>
      <c r="DR58" s="1">
        <v>9.9999999999999999E+306</v>
      </c>
      <c r="DS58" s="1">
        <v>9.9999999999999999E+306</v>
      </c>
      <c r="DT58" s="1">
        <v>9.9999999999999999E+306</v>
      </c>
      <c r="DU58" s="1">
        <v>9.9999999999999999E+306</v>
      </c>
      <c r="DV58" s="1">
        <v>9.9999999999999999E+306</v>
      </c>
      <c r="DW58" s="1">
        <v>9.9999999999999999E+306</v>
      </c>
      <c r="DX58" s="1">
        <v>9.9999999999999999E+306</v>
      </c>
      <c r="DY58" s="1">
        <v>9.9999999999999999E+306</v>
      </c>
      <c r="DZ58" s="1">
        <v>9.9999999999999999E+306</v>
      </c>
      <c r="EA58" s="1">
        <v>9.9999999999999999E+306</v>
      </c>
      <c r="EB58" s="1">
        <v>9.9999999999999999E+306</v>
      </c>
      <c r="EC58" s="1">
        <v>9.9999999999999999E+306</v>
      </c>
      <c r="ED58" s="1">
        <v>9.9999999999999999E+306</v>
      </c>
      <c r="EE58" s="1">
        <v>9.9999999999999999E+306</v>
      </c>
      <c r="EF58" s="1">
        <v>9.9999999999999999E+306</v>
      </c>
      <c r="EG58" s="1">
        <v>9.9999999999999999E+306</v>
      </c>
      <c r="EH58" s="1">
        <v>9.9999999999999999E+306</v>
      </c>
      <c r="EI58" s="1">
        <v>9.9999999999999999E+306</v>
      </c>
      <c r="EJ58" s="1">
        <v>9.9999999999999999E+306</v>
      </c>
      <c r="EK58" s="1">
        <v>9.9999999999999999E+306</v>
      </c>
      <c r="EL58" s="1">
        <v>9.9999999999999999E+306</v>
      </c>
      <c r="EM58" s="1">
        <v>9.9999999999999999E+306</v>
      </c>
      <c r="EN58" s="1">
        <v>9.9999999999999999E+306</v>
      </c>
      <c r="EO58" s="1">
        <v>9.9999999999999999E+306</v>
      </c>
      <c r="EP58" s="1">
        <v>9.9999999999999999E+306</v>
      </c>
      <c r="EQ58" s="1">
        <v>9.9999999999999999E+306</v>
      </c>
      <c r="ER58" s="1">
        <v>9.9999999999999999E+306</v>
      </c>
      <c r="ES58" s="1">
        <v>9.9999999999999999E+306</v>
      </c>
      <c r="ET58" s="1">
        <v>9.9999999999999999E+306</v>
      </c>
      <c r="EU58" s="1">
        <v>9.9999999999999999E+306</v>
      </c>
      <c r="EV58" s="1">
        <v>9.9999999999999999E+306</v>
      </c>
      <c r="EW58" s="1">
        <v>9.9999999999999999E+306</v>
      </c>
      <c r="EX58" s="1">
        <v>9.9999999999999999E+306</v>
      </c>
      <c r="EY58" s="1">
        <v>9.9999999999999999E+306</v>
      </c>
      <c r="EZ58" s="1">
        <v>9.9999999999999999E+306</v>
      </c>
      <c r="FA58" s="1">
        <v>9.9999999999999999E+306</v>
      </c>
      <c r="FB58" s="1">
        <v>9.9999999999999999E+306</v>
      </c>
      <c r="FC58" s="1">
        <v>9.9999999999999999E+306</v>
      </c>
      <c r="FD58" s="1">
        <v>9.9999999999999999E+306</v>
      </c>
      <c r="FE58" s="1">
        <v>9.9999999999999999E+306</v>
      </c>
      <c r="FF58" s="1">
        <v>9.9999999999999999E+306</v>
      </c>
      <c r="FG58" s="1">
        <v>9.9999999999999999E+306</v>
      </c>
      <c r="FH58" s="1">
        <v>9.9999999999999999E+306</v>
      </c>
      <c r="FI58" s="1">
        <v>9.9999999999999999E+306</v>
      </c>
      <c r="FJ58" s="1">
        <v>9.9999999999999999E+306</v>
      </c>
      <c r="FK58" s="1">
        <v>9.9999999999999999E+306</v>
      </c>
      <c r="FL58" s="1">
        <v>9.9999999999999999E+306</v>
      </c>
      <c r="FM58" s="1">
        <v>9.9999999999999999E+306</v>
      </c>
      <c r="FN58" s="1">
        <v>9.9999999999999999E+306</v>
      </c>
      <c r="FO58" s="1">
        <v>9.9999999999999999E+306</v>
      </c>
      <c r="FP58" s="1">
        <v>9.9999999999999999E+306</v>
      </c>
      <c r="FQ58" s="1">
        <v>9.9999999999999999E+306</v>
      </c>
      <c r="FR58" s="1">
        <v>9.9999999999999999E+306</v>
      </c>
      <c r="FS58" s="1">
        <v>9.9999999999999999E+306</v>
      </c>
      <c r="FT58" s="1">
        <v>9.9999999999999999E+306</v>
      </c>
      <c r="FU58" s="1">
        <v>9.9999999999999999E+306</v>
      </c>
      <c r="FV58" s="1">
        <v>9.9999999999999999E+306</v>
      </c>
      <c r="FW58" s="1">
        <v>9.9999999999999999E+306</v>
      </c>
      <c r="FX58" s="1">
        <v>9.9999999999999999E+306</v>
      </c>
      <c r="FY58" s="1">
        <v>9.9999999999999999E+306</v>
      </c>
      <c r="FZ58" s="1">
        <v>9.9999999999999999E+306</v>
      </c>
      <c r="GA58" s="1">
        <v>9.9999999999999999E+306</v>
      </c>
      <c r="GB58" s="1">
        <v>9.9999999999999999E+306</v>
      </c>
      <c r="GC58" s="1">
        <v>9.9999999999999999E+306</v>
      </c>
      <c r="GD58" s="1">
        <v>9.9999999999999999E+306</v>
      </c>
      <c r="GE58" s="1">
        <v>9.9999999999999999E+306</v>
      </c>
      <c r="GF58" s="1">
        <v>9.9999999999999999E+306</v>
      </c>
      <c r="GG58" s="1">
        <v>9.9999999999999999E+306</v>
      </c>
      <c r="GH58" s="1">
        <v>9.9999999999999999E+306</v>
      </c>
      <c r="GI58" s="1">
        <v>9.9999999999999999E+306</v>
      </c>
      <c r="GJ58" s="1">
        <v>9.9999999999999999E+306</v>
      </c>
      <c r="GK58" s="1">
        <v>9.9999999999999999E+306</v>
      </c>
      <c r="GL58" s="1">
        <v>9.9999999999999999E+306</v>
      </c>
      <c r="GM58" s="1">
        <v>9.9999999999999999E+306</v>
      </c>
      <c r="GN58" s="1">
        <v>9.9999999999999999E+306</v>
      </c>
      <c r="GO58" s="1">
        <v>9.9999999999999999E+306</v>
      </c>
      <c r="GP58" s="1">
        <v>9.9999999999999999E+306</v>
      </c>
      <c r="GQ58" s="1">
        <v>9.9999999999999999E+306</v>
      </c>
      <c r="GR58" s="1">
        <v>9.9999999999999999E+306</v>
      </c>
      <c r="GS58" s="1">
        <v>9.9999999999999999E+306</v>
      </c>
      <c r="GT58" s="1">
        <v>9.9999999999999999E+306</v>
      </c>
    </row>
    <row r="59" spans="1:206" x14ac:dyDescent="0.25">
      <c r="A59" s="2" t="s">
        <v>259</v>
      </c>
      <c r="C59" t="s">
        <v>202</v>
      </c>
      <c r="D59" t="s">
        <v>202</v>
      </c>
      <c r="E59" t="s">
        <v>202</v>
      </c>
      <c r="F59" t="s">
        <v>202</v>
      </c>
      <c r="G59" t="s">
        <v>202</v>
      </c>
      <c r="H59" t="s">
        <v>202</v>
      </c>
      <c r="I59" t="s">
        <v>202</v>
      </c>
      <c r="J59" t="s">
        <v>202</v>
      </c>
      <c r="K59" t="s">
        <v>202</v>
      </c>
      <c r="L59" t="s">
        <v>202</v>
      </c>
      <c r="M59" t="s">
        <v>202</v>
      </c>
      <c r="N59" t="s">
        <v>202</v>
      </c>
      <c r="O59" t="s">
        <v>202</v>
      </c>
      <c r="P59" t="s">
        <v>202</v>
      </c>
      <c r="Q59" t="s">
        <v>202</v>
      </c>
      <c r="R59" t="s">
        <v>202</v>
      </c>
      <c r="S59" t="s">
        <v>202</v>
      </c>
      <c r="T59" t="s">
        <v>202</v>
      </c>
      <c r="U59" t="s">
        <v>202</v>
      </c>
      <c r="V59" t="s">
        <v>202</v>
      </c>
      <c r="W59" t="s">
        <v>202</v>
      </c>
      <c r="X59" t="s">
        <v>202</v>
      </c>
      <c r="Y59" t="s">
        <v>202</v>
      </c>
      <c r="Z59" t="s">
        <v>202</v>
      </c>
      <c r="AA59" t="s">
        <v>202</v>
      </c>
      <c r="AB59" t="s">
        <v>202</v>
      </c>
      <c r="AC59" t="s">
        <v>202</v>
      </c>
      <c r="AD59" t="s">
        <v>202</v>
      </c>
      <c r="AE59" t="s">
        <v>202</v>
      </c>
      <c r="AF59" t="s">
        <v>202</v>
      </c>
      <c r="AG59" t="s">
        <v>202</v>
      </c>
      <c r="AH59" t="s">
        <v>202</v>
      </c>
      <c r="AI59" t="s">
        <v>202</v>
      </c>
      <c r="AJ59" t="s">
        <v>202</v>
      </c>
      <c r="AK59" t="s">
        <v>202</v>
      </c>
      <c r="AL59" t="s">
        <v>202</v>
      </c>
      <c r="AM59" t="s">
        <v>202</v>
      </c>
      <c r="AN59" t="s">
        <v>202</v>
      </c>
      <c r="AO59" t="s">
        <v>202</v>
      </c>
      <c r="AP59" t="s">
        <v>202</v>
      </c>
      <c r="AQ59" t="s">
        <v>202</v>
      </c>
      <c r="AR59" t="s">
        <v>202</v>
      </c>
      <c r="AS59" t="s">
        <v>202</v>
      </c>
      <c r="AT59" t="s">
        <v>202</v>
      </c>
      <c r="AU59" t="s">
        <v>202</v>
      </c>
      <c r="AV59" t="s">
        <v>202</v>
      </c>
      <c r="AW59" t="s">
        <v>202</v>
      </c>
      <c r="AX59" t="s">
        <v>202</v>
      </c>
      <c r="AY59" t="s">
        <v>202</v>
      </c>
      <c r="AZ59" t="s">
        <v>202</v>
      </c>
      <c r="BA59" t="s">
        <v>202</v>
      </c>
      <c r="BB59" t="s">
        <v>202</v>
      </c>
      <c r="BC59" t="s">
        <v>202</v>
      </c>
      <c r="BD59" t="s">
        <v>202</v>
      </c>
      <c r="BE59" t="s">
        <v>202</v>
      </c>
      <c r="BF59" t="s">
        <v>202</v>
      </c>
      <c r="BG59" t="s">
        <v>202</v>
      </c>
      <c r="BH59" t="s">
        <v>202</v>
      </c>
      <c r="BI59" t="s">
        <v>202</v>
      </c>
      <c r="BJ59" t="s">
        <v>202</v>
      </c>
      <c r="BK59" t="s">
        <v>202</v>
      </c>
      <c r="BL59" t="s">
        <v>202</v>
      </c>
      <c r="BM59" t="s">
        <v>202</v>
      </c>
      <c r="BN59" t="s">
        <v>202</v>
      </c>
      <c r="BO59" t="s">
        <v>202</v>
      </c>
      <c r="BP59" t="s">
        <v>202</v>
      </c>
      <c r="BQ59" t="s">
        <v>202</v>
      </c>
      <c r="BR59" t="s">
        <v>202</v>
      </c>
      <c r="BS59" t="s">
        <v>202</v>
      </c>
      <c r="BT59" t="s">
        <v>202</v>
      </c>
      <c r="BU59" t="s">
        <v>202</v>
      </c>
      <c r="BV59" t="s">
        <v>202</v>
      </c>
      <c r="BW59" t="s">
        <v>202</v>
      </c>
      <c r="BX59" t="s">
        <v>202</v>
      </c>
      <c r="BY59" t="s">
        <v>202</v>
      </c>
      <c r="BZ59" t="s">
        <v>202</v>
      </c>
      <c r="CA59" t="s">
        <v>202</v>
      </c>
      <c r="CB59" t="s">
        <v>202</v>
      </c>
      <c r="CC59" t="s">
        <v>202</v>
      </c>
      <c r="CD59" t="s">
        <v>202</v>
      </c>
      <c r="CE59" t="s">
        <v>202</v>
      </c>
      <c r="CF59" t="s">
        <v>202</v>
      </c>
      <c r="CG59" t="s">
        <v>202</v>
      </c>
      <c r="CH59" t="s">
        <v>202</v>
      </c>
      <c r="CI59" t="s">
        <v>202</v>
      </c>
      <c r="CJ59" t="s">
        <v>202</v>
      </c>
      <c r="CK59" t="s">
        <v>202</v>
      </c>
      <c r="CL59" t="s">
        <v>202</v>
      </c>
      <c r="CM59" t="s">
        <v>202</v>
      </c>
      <c r="CN59" t="s">
        <v>202</v>
      </c>
      <c r="CO59" t="s">
        <v>202</v>
      </c>
      <c r="CP59" t="s">
        <v>202</v>
      </c>
      <c r="CQ59" t="s">
        <v>202</v>
      </c>
      <c r="CR59" t="s">
        <v>202</v>
      </c>
      <c r="CS59" t="s">
        <v>202</v>
      </c>
      <c r="CT59" t="s">
        <v>202</v>
      </c>
      <c r="CU59" t="s">
        <v>202</v>
      </c>
      <c r="CV59" t="s">
        <v>202</v>
      </c>
      <c r="CW59" t="s">
        <v>202</v>
      </c>
      <c r="CX59" t="s">
        <v>202</v>
      </c>
      <c r="CY59" t="s">
        <v>202</v>
      </c>
      <c r="CZ59" t="s">
        <v>202</v>
      </c>
      <c r="DA59" t="s">
        <v>202</v>
      </c>
      <c r="DB59" t="s">
        <v>202</v>
      </c>
      <c r="DC59" t="s">
        <v>202</v>
      </c>
      <c r="DD59" t="s">
        <v>202</v>
      </c>
      <c r="DE59" t="s">
        <v>202</v>
      </c>
      <c r="DF59" t="s">
        <v>202</v>
      </c>
      <c r="DG59" t="s">
        <v>202</v>
      </c>
      <c r="DH59" t="s">
        <v>202</v>
      </c>
      <c r="DI59" t="s">
        <v>202</v>
      </c>
      <c r="DJ59" t="s">
        <v>202</v>
      </c>
      <c r="DK59" t="s">
        <v>202</v>
      </c>
      <c r="DL59" t="s">
        <v>202</v>
      </c>
      <c r="DM59" t="s">
        <v>202</v>
      </c>
      <c r="DN59" t="s">
        <v>202</v>
      </c>
      <c r="DO59" t="s">
        <v>202</v>
      </c>
      <c r="DP59" t="s">
        <v>202</v>
      </c>
      <c r="DQ59" t="s">
        <v>202</v>
      </c>
      <c r="DR59" t="s">
        <v>202</v>
      </c>
      <c r="DS59" t="s">
        <v>202</v>
      </c>
      <c r="DT59" t="s">
        <v>202</v>
      </c>
      <c r="DU59" t="s">
        <v>202</v>
      </c>
      <c r="DV59" t="s">
        <v>202</v>
      </c>
      <c r="DW59" t="s">
        <v>202</v>
      </c>
      <c r="DX59" t="s">
        <v>202</v>
      </c>
      <c r="DY59" t="s">
        <v>202</v>
      </c>
      <c r="DZ59" t="s">
        <v>202</v>
      </c>
      <c r="EA59" t="s">
        <v>202</v>
      </c>
      <c r="EB59" t="s">
        <v>202</v>
      </c>
      <c r="EC59" t="s">
        <v>202</v>
      </c>
      <c r="ED59" t="s">
        <v>202</v>
      </c>
      <c r="EE59" t="s">
        <v>202</v>
      </c>
      <c r="EF59" t="s">
        <v>202</v>
      </c>
      <c r="EG59" t="s">
        <v>202</v>
      </c>
      <c r="EH59" t="s">
        <v>202</v>
      </c>
      <c r="EI59" t="s">
        <v>202</v>
      </c>
      <c r="EJ59" t="s">
        <v>202</v>
      </c>
      <c r="EK59" t="s">
        <v>202</v>
      </c>
      <c r="EL59" t="s">
        <v>202</v>
      </c>
      <c r="EM59" t="s">
        <v>202</v>
      </c>
      <c r="EN59" t="s">
        <v>202</v>
      </c>
      <c r="EO59" t="s">
        <v>202</v>
      </c>
      <c r="EP59" t="s">
        <v>202</v>
      </c>
      <c r="EQ59" t="s">
        <v>202</v>
      </c>
      <c r="ER59" t="s">
        <v>202</v>
      </c>
      <c r="ES59" t="s">
        <v>202</v>
      </c>
      <c r="ET59" t="s">
        <v>202</v>
      </c>
      <c r="EU59" t="s">
        <v>202</v>
      </c>
      <c r="EV59" t="s">
        <v>202</v>
      </c>
      <c r="EW59" t="s">
        <v>202</v>
      </c>
      <c r="EX59" t="s">
        <v>202</v>
      </c>
      <c r="EY59" t="s">
        <v>202</v>
      </c>
      <c r="EZ59" t="s">
        <v>202</v>
      </c>
      <c r="FA59" t="s">
        <v>202</v>
      </c>
      <c r="FB59" t="s">
        <v>202</v>
      </c>
      <c r="FC59" t="s">
        <v>202</v>
      </c>
      <c r="FD59" t="s">
        <v>202</v>
      </c>
      <c r="FE59" t="s">
        <v>202</v>
      </c>
      <c r="FF59" t="s">
        <v>202</v>
      </c>
      <c r="FG59" t="s">
        <v>202</v>
      </c>
      <c r="FH59" t="s">
        <v>202</v>
      </c>
      <c r="FI59" t="s">
        <v>202</v>
      </c>
      <c r="FJ59" t="s">
        <v>202</v>
      </c>
      <c r="FK59" t="s">
        <v>202</v>
      </c>
      <c r="FL59" t="s">
        <v>202</v>
      </c>
      <c r="FM59" t="s">
        <v>202</v>
      </c>
      <c r="FN59" t="s">
        <v>202</v>
      </c>
      <c r="FO59" t="s">
        <v>202</v>
      </c>
      <c r="FP59" t="s">
        <v>202</v>
      </c>
      <c r="FQ59" t="s">
        <v>202</v>
      </c>
      <c r="FR59" t="s">
        <v>202</v>
      </c>
      <c r="FS59" t="s">
        <v>202</v>
      </c>
      <c r="FT59" t="s">
        <v>202</v>
      </c>
      <c r="FU59" t="s">
        <v>202</v>
      </c>
      <c r="FV59" t="s">
        <v>202</v>
      </c>
      <c r="FW59" t="s">
        <v>202</v>
      </c>
      <c r="FX59" t="s">
        <v>202</v>
      </c>
      <c r="FY59" t="s">
        <v>202</v>
      </c>
      <c r="FZ59" t="s">
        <v>202</v>
      </c>
      <c r="GA59" t="s">
        <v>202</v>
      </c>
      <c r="GB59" t="s">
        <v>202</v>
      </c>
      <c r="GC59" t="s">
        <v>202</v>
      </c>
      <c r="GD59" t="s">
        <v>202</v>
      </c>
      <c r="GE59" t="s">
        <v>202</v>
      </c>
      <c r="GF59" t="s">
        <v>202</v>
      </c>
      <c r="GG59" t="s">
        <v>202</v>
      </c>
      <c r="GH59" t="s">
        <v>202</v>
      </c>
      <c r="GI59" t="s">
        <v>202</v>
      </c>
      <c r="GJ59" t="s">
        <v>202</v>
      </c>
      <c r="GK59" t="s">
        <v>202</v>
      </c>
      <c r="GL59" t="s">
        <v>202</v>
      </c>
      <c r="GM59" t="s">
        <v>202</v>
      </c>
      <c r="GN59" t="s">
        <v>202</v>
      </c>
      <c r="GO59" t="s">
        <v>202</v>
      </c>
      <c r="GP59" t="s">
        <v>202</v>
      </c>
      <c r="GQ59" t="s">
        <v>202</v>
      </c>
      <c r="GR59" t="s">
        <v>202</v>
      </c>
      <c r="GS59" t="s">
        <v>202</v>
      </c>
      <c r="GT59" t="s">
        <v>202</v>
      </c>
    </row>
  </sheetData>
  <mergeCells count="1">
    <mergeCell ref="GW2:GY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399E-42F8-4216-8569-DCE566B416E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 de respuestas 1</vt:lpstr>
      <vt:lpstr>MODEL_07_SetCovering_50x200.lp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León</dc:creator>
  <cp:lastModifiedBy>Andrés León</cp:lastModifiedBy>
  <dcterms:created xsi:type="dcterms:W3CDTF">2026-06-16T10:35:53Z</dcterms:created>
  <dcterms:modified xsi:type="dcterms:W3CDTF">2026-06-17T04:42:27Z</dcterms:modified>
</cp:coreProperties>
</file>